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" sheetId="1" r:id="rId4"/>
    <sheet name="Test Plan" sheetId="2" r:id="rId5"/>
    <sheet name="Test Scenario" sheetId="3" r:id="rId6"/>
    <sheet name="Ringkasan" sheetId="4" r:id="rId7"/>
  </sheets>
  <definedNames>
    <definedName name="_xlnm._FilterDatabase" localSheetId="2" hidden="1">'Test Scenario'!$A$1:$N$1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<sst xmlns="http://schemas.openxmlformats.org/spreadsheetml/2006/main" uniqueCount="789">
  <si>
    <t>DOKUMEN PENGUJIAN PERANGKAT LUNAK</t>
  </si>
  <si>
    <t>Test Plan &amp; Test Scenario — Aplikasi HRIS (Human Resource Information System)</t>
  </si>
  <si>
    <t>Nama Aplikasi</t>
  </si>
  <si>
    <t>HRIS — Human Resource Information System</t>
  </si>
  <si>
    <t>Teknologi</t>
  </si>
  <si>
    <t>Laravel 12 (PHP), MySQL, Blade + Tailwind, Maatwebsite Excel</t>
  </si>
  <si>
    <t>Versi Dokumen</t>
  </si>
  <si>
    <t>Tanggal Dibuat</t>
  </si>
  <si>
    <t>11 July 2026</t>
  </si>
  <si>
    <t>Disusun oleh</t>
  </si>
  <si>
    <t>Tim QA / HR</t>
  </si>
  <si>
    <t>Disetujui oleh</t>
  </si>
  <si>
    <t>(  ................................  )</t>
  </si>
  <si>
    <t>Status Dokumen</t>
  </si>
  <si>
    <t>Draft</t>
  </si>
  <si>
    <t>Lingkup Modul</t>
  </si>
  <si>
    <t>Autentikasi, Dashboard, Profil, Pengaturan, Karyawan &amp; Import, Organisasi, Absensi/Mesin/Roster, Cuti, Lembur, Tukar Shift, Laporan, Notifikasi, Hak Akses</t>
  </si>
  <si>
    <t>Daftar Isi Workbook</t>
  </si>
  <si>
    <t>1. Info</t>
  </si>
  <si>
    <t>Identitas &amp; riwayat dokumen.</t>
  </si>
  <si>
    <t>2. Test Plan</t>
  </si>
  <si>
    <t>Rencana pengujian: tujuan, ruang lingkup, strategi, lingkungan, peran, kriteria, risiko, jadwal.</t>
  </si>
  <si>
    <t>3. Test Scenario</t>
  </si>
  <si>
    <t>Daftar skenario/kasus uji langkah demi langkah beserta hasil yang diharapkan. Kolom Status berisi dropdown.</t>
  </si>
  <si>
    <t>4. Ringkasan</t>
  </si>
  <si>
    <t>Rekap otomatis jumlah Pass/Fail/Blocked/Not Run (dihitung dari sheet Test Scenario).</t>
  </si>
  <si>
    <t>TEST PLAN (RENCANA PENGUJIAN)</t>
  </si>
  <si>
    <t>1. Pendahuluan</t>
  </si>
  <si>
    <t>1.1 Tujuan</t>
  </si>
  <si>
    <t>Memastikan seluruh fitur aplikasi HRIS berfungsi sesuai kebutuhan, mengikuti aturan bisnis (validasi, hak akses per peran, alur persetujuan), dan tidak terdapat cacat kritis sebelum rilis/serah terima.</t>
  </si>
  <si>
    <t>1.2 Ruang Lingkup</t>
  </si>
  <si>
    <t>Pengujian fungsional (functional testing) dan penerimaan pengguna (UAT) atas modul: Autentikasi, Dashboard, Profil Saya, Pengaturan, Manajemen Karyawan &amp; Import Excel, Organisasi (Lokasi/Divisi/Jabatan), Absensi (Mesin/Punch/Roster/Shift/Libur/Koreksi), Cuti, Lembur, Tukar Shift, Laporan, Notifikasi, dan Hak Akses.</t>
  </si>
  <si>
    <t>1.3 Di Luar Lingkup</t>
  </si>
  <si>
    <t>Uji beban/performa mendalam, uji penetrasi keamanan menyeluruh, kompatibilitas lintas versi browser lawas, dan integrasi perangkat keras fisik mesin fingerprint di luar simulasi protokol iclock.</t>
  </si>
  <si>
    <t>2. Referensi</t>
  </si>
  <si>
    <t>2.1 Dokumen Terkait</t>
  </si>
  <si>
    <t>Kode sumber aplikasi (routes/web.php, Controllers, Requests), template import karyawan, dan panduan pengguna (bila ada).</t>
  </si>
  <si>
    <t>3. Strategi &amp; Jenis Pengujian</t>
  </si>
  <si>
    <t>3.1 Pendekatan</t>
  </si>
  <si>
    <t>Black-box, berbasis skenario per modul. Setiap skenario memuat prasyarat, langkah, data uji, dan hasil yang diharapkan. Dieksekusi manual melalui UI, sebagian dapat didukung uji otomatis (Pest/PHPUnit).</t>
  </si>
  <si>
    <t>3.2 Jenis Pengujian</t>
  </si>
  <si>
    <t>• Positif (happy path)
• Negatif (validasi &amp; penanganan error)
• Otorisasi/Hak Akses (per peran)
• Alur Persetujuan (pengajuan → approve/reject)
• Regresi (setelah perbaikan)
• Uji Batas (kuota cuti, panjang password, tanggal)</t>
  </si>
  <si>
    <t>3.3 Prioritas</t>
  </si>
  <si>
    <t>Tinggi = fitur inti/berisiko (login, import, absensi, cuti, hak akses). Sedang = fitur pendukung. Rendah = tampilan/kenyamanan.</t>
  </si>
  <si>
    <t>4. Lingkungan Pengujian</t>
  </si>
  <si>
    <t>4.1 Perangkat Lunak</t>
  </si>
  <si>
    <t>Laravel 12, PHP 8.x, MySQL, Laragon (Windows). Browser: Chrome/Edge versi terbaru.</t>
  </si>
  <si>
    <t>4.2 Data Uji</t>
  </si>
  <si>
    <t>Basis data berisi data master contoh (Lokasi, Divisi, Jabatan, Peran) dan minimal 1 mesin absensi terdaftar. Gunakan akun uji untuk tiap peran (super-admin, hr-manager, employee).</t>
  </si>
  <si>
    <t>4.3 Akun &amp; Peran</t>
  </si>
  <si>
    <t>Peran tersedia: super-admin/superadmin, hr-manager, employee, employee-reader. Siapkan 1 karyawan yang juga menjadi atasan untuk menguji alur persetujuan.</t>
  </si>
  <si>
    <t>5. Peran &amp; Tanggung Jawab</t>
  </si>
  <si>
    <t>5.1 Tester/QA</t>
  </si>
  <si>
    <t>Menjalankan skenario, mencatat hasil aktual, melaporkan bug.</t>
  </si>
  <si>
    <t>5.2 Developer</t>
  </si>
  <si>
    <t>Memperbaiki bug, menyediakan lingkungan &amp; data uji.</t>
  </si>
  <si>
    <t>5.3 Product Owner / HR</t>
  </si>
  <si>
    <t>Menyetujui hasil UAT dan menentukan kelayakan rilis.</t>
  </si>
  <si>
    <t>6. Kriteria Masuk &amp; Keluar</t>
  </si>
  <si>
    <t>6.1 Kriteria Masuk (Entry)</t>
  </si>
  <si>
    <t>Aplikasi ter-deploy di lingkungan uji, migrasi &amp; seeder dijalankan, akun tiap peran tersedia, dokumen skenario disetujui.</t>
  </si>
  <si>
    <t>6.2 Kriteria Keluar (Exit)</t>
  </si>
  <si>
    <t>Seluruh skenario prioritas Tinggi berstatus Pass; tidak ada bug kritis/blocker terbuka; bug minor terdokumentasi dan disepakati untuk ditunda.</t>
  </si>
  <si>
    <t>6.3 Kriteria Lolos/Gagal Kasus</t>
  </si>
  <si>
    <t>Pass = hasil aktual sesuai hasil diharapkan. Fail = tidak sesuai. Blocked = tidak dapat diuji karena hambatan/bug lain.</t>
  </si>
  <si>
    <t>7. Risiko &amp; Mitigasi</t>
  </si>
  <si>
    <t>7.1 Risiko</t>
  </si>
  <si>
    <t>• Data master ganda akibat salah ketik saat import (auto-create).
• Ketergantungan mesin fingerprint fisik.
• Aturan kuota cuti/kontrak yang kompleks.</t>
  </si>
  <si>
    <t>7.2 Mitigasi</t>
  </si>
  <si>
    <t>• Verifikasi hasil import &amp; tinjau data master baru.
• Simulasikan protokol iclock untuk uji punch.
• Siapkan data uji batas (kuota habis, kontrak PKWTT vs non-PKWTT).</t>
  </si>
  <si>
    <t>8. Jadwal &amp; Deliverables</t>
  </si>
  <si>
    <t>8.1 Jadwal (contoh)</t>
  </si>
  <si>
    <t>Persiapan data &amp; lingkungan: 1 hari • Eksekusi skenario: 3–5 hari • Perbaikan &amp; regresi: 2 hari • UAT &amp; sign-off: 1 hari.</t>
  </si>
  <si>
    <t>8.2 Deliverables</t>
  </si>
  <si>
    <t>Dokumen ini (Test Plan + Test Scenario terisi Status), Laporan Ringkasan (sheet Ringkasan), dan daftar bug.</t>
  </si>
  <si>
    <t>ID</t>
  </si>
  <si>
    <t>Modul</t>
  </si>
  <si>
    <t>Fitur</t>
  </si>
  <si>
    <t>Skenario Pengujian</t>
  </si>
  <si>
    <t>Prasyarat</t>
  </si>
  <si>
    <t>Langkah Pengujian</t>
  </si>
  <si>
    <t>Data Uji</t>
  </si>
  <si>
    <t>Hasil yang Diharapkan</t>
  </si>
  <si>
    <t>Prioritas</t>
  </si>
  <si>
    <t>Tipe</t>
  </si>
  <si>
    <t>Peran</t>
  </si>
  <si>
    <t>Status</t>
  </si>
  <si>
    <t>Hasil Aktual</t>
  </si>
  <si>
    <t>Catatan</t>
  </si>
  <si>
    <t>TC-AUTH-01</t>
  </si>
  <si>
    <t>Autentikasi</t>
  </si>
  <si>
    <t>Login</t>
  </si>
  <si>
    <t>Login dengan kredensial valid</t>
  </si>
  <si>
    <t>Akun aktif terdaftar</t>
  </si>
  <si>
    <t>1) Buka /login 2) Isi email &amp; password benar 3) Klik Masuk</t>
  </si>
  <si>
    <t>email &amp; password valid</t>
  </si>
  <si>
    <t>Berhasil masuk, diarahkan ke Dashboard</t>
  </si>
  <si>
    <t>Tinggi</t>
  </si>
  <si>
    <t>Positif</t>
  </si>
  <si>
    <t>Semua</t>
  </si>
  <si>
    <t>Not Run</t>
  </si>
  <si>
    <t>TC-AUTH-02</t>
  </si>
  <si>
    <t>Login password salah</t>
  </si>
  <si>
    <t>Akun terdaftar</t>
  </si>
  <si>
    <t>1) Buka /login 2) Isi password salah 3) Klik Masuk</t>
  </si>
  <si>
    <t>password salah</t>
  </si>
  <si>
    <t>Gagal login, muncul pesan kesalahan, tetap di halaman login</t>
  </si>
  <si>
    <t>Negatif</t>
  </si>
  <si>
    <t>TC-AUTH-03</t>
  </si>
  <si>
    <t>Pembatasan percobaan (throttle)</t>
  </si>
  <si>
    <t>—</t>
  </si>
  <si>
    <t>1) Salah login berulang kali (&gt;5x) dalam waktu singkat</t>
  </si>
  <si>
    <t>kredensial salah</t>
  </si>
  <si>
    <t>Login dibatasi sementara (throttle), muncul pesan tunggu</t>
  </si>
  <si>
    <t>Sedang</t>
  </si>
  <si>
    <t>TC-AUTH-04</t>
  </si>
  <si>
    <t>Proteksi Rute</t>
  </si>
  <si>
    <t>Akses halaman tanpa login</t>
  </si>
  <si>
    <t>Belum login</t>
  </si>
  <si>
    <t>1) Buka URL /dashboard langsung tanpa login</t>
  </si>
  <si>
    <t>Diarahkan ke halaman login</t>
  </si>
  <si>
    <t>Akses</t>
  </si>
  <si>
    <t>Guest</t>
  </si>
  <si>
    <t>TC-AUTH-05</t>
  </si>
  <si>
    <t>Logout</t>
  </si>
  <si>
    <t>Keluar dari aplikasi</t>
  </si>
  <si>
    <t>Sudah login</t>
  </si>
  <si>
    <t>1) Klik Logout</t>
  </si>
  <si>
    <t>Sesi berakhir, diarahkan ke halaman login</t>
  </si>
  <si>
    <t>TC-DASH-01</t>
  </si>
  <si>
    <t>Dashboard</t>
  </si>
  <si>
    <t>Ringkasan HR</t>
  </si>
  <si>
    <t>Dashboard menampilkan ringkasan untuk HR/Admin</t>
  </si>
  <si>
    <t>Login sebagai HR/Admin</t>
  </si>
  <si>
    <t>1) Buka /dashboard</t>
  </si>
  <si>
    <t>Menampilkan ringkasan (total karyawan, aktif, cabang, kontrak akan berakhir, dsb.)</t>
  </si>
  <si>
    <t>HR/Admin</t>
  </si>
  <si>
    <t>TC-DASH-02</t>
  </si>
  <si>
    <t>Dashboard Karyawan</t>
  </si>
  <si>
    <t>Karyawan melihat dashboard self-service</t>
  </si>
  <si>
    <t>Login sebagai employee</t>
  </si>
  <si>
    <t>Menampilkan versi khusus karyawan (data diri/absensi/cuti sendiri), bukan ringkasan HR</t>
  </si>
  <si>
    <t>Karyawan</t>
  </si>
  <si>
    <t>TC-DASH-03</t>
  </si>
  <si>
    <t>Otorisasi</t>
  </si>
  <si>
    <t>Tanpa izin dashboard.view</t>
  </si>
  <si>
    <t>User tanpa permission</t>
  </si>
  <si>
    <t>1) Akses /dashboard</t>
  </si>
  <si>
    <t>Ditolak (HTTP 403)</t>
  </si>
  <si>
    <t>Tanpa izin</t>
  </si>
  <si>
    <t>TC-PROF-01</t>
  </si>
  <si>
    <t>Profil Saya</t>
  </si>
  <si>
    <t>Edit Data</t>
  </si>
  <si>
    <t>Perbarui data pribadi self-service</t>
  </si>
  <si>
    <t>1) Buka /profile 2) Ubah data (telepon/alamat) 3) Simpan</t>
  </si>
  <si>
    <t>data valid</t>
  </si>
  <si>
    <t>Data tersimpan, muncul pesan sukses</t>
  </si>
  <si>
    <t>TC-PROF-02</t>
  </si>
  <si>
    <t>Ganti Password</t>
  </si>
  <si>
    <t>Ganti password (password lama benar)</t>
  </si>
  <si>
    <t>1) Buka Profil 2) Isi password lama benar + password baru + konfirmasi 3) Simpan</t>
  </si>
  <si>
    <t>password baru ≥8</t>
  </si>
  <si>
    <t>Password berhasil diganti</t>
  </si>
  <si>
    <t>TC-PROF-03</t>
  </si>
  <si>
    <t>Konfirmasi password tidak cocok</t>
  </si>
  <si>
    <t>1) Isi password baru &amp; konfirmasi berbeda 2) Simpan</t>
  </si>
  <si>
    <t>konfirmasi beda</t>
  </si>
  <si>
    <t>Validasi gagal, password tidak berubah</t>
  </si>
  <si>
    <t>TC-PROF-04</t>
  </si>
  <si>
    <t>Password lama salah</t>
  </si>
  <si>
    <t>1) Isi password lama salah 2) Simpan</t>
  </si>
  <si>
    <t>password lama salah</t>
  </si>
  <si>
    <t>Validasi gagal, muncul pesan kesalahan</t>
  </si>
  <si>
    <t>TC-SET-01</t>
  </si>
  <si>
    <t>Pengaturan</t>
  </si>
  <si>
    <t>Auto-generate Roster</t>
  </si>
  <si>
    <t>Aktifkan auto-generate roster</t>
  </si>
  <si>
    <t>Login sbg HR (attendance.update)</t>
  </si>
  <si>
    <t>1) Buka /settings 2) Nyalakan toggle 3) Simpan</t>
  </si>
  <si>
    <t>Pengaturan tersimpan (ON)</t>
  </si>
  <si>
    <t>TC-SET-02</t>
  </si>
  <si>
    <t>Nonaktifkan auto-generate roster</t>
  </si>
  <si>
    <t>Login sbg HR</t>
  </si>
  <si>
    <t>1) Matikan toggle 2) Simpan</t>
  </si>
  <si>
    <t>Roster harian tidak dibuat otomatis</t>
  </si>
  <si>
    <t>TC-SET-03</t>
  </si>
  <si>
    <t>Tanpa izin attendance.update</t>
  </si>
  <si>
    <t>User employee</t>
  </si>
  <si>
    <t>1) Akses /settings</t>
  </si>
  <si>
    <t>TC-EMP-01</t>
  </si>
  <si>
    <t>Daftar</t>
  </si>
  <si>
    <t>Lihat daftar karyawan</t>
  </si>
  <si>
    <t>Login (employees.view)</t>
  </si>
  <si>
    <t>1) Buka /employees</t>
  </si>
  <si>
    <t>Daftar karyawan tampil dengan paginasi</t>
  </si>
  <si>
    <t>TC-EMP-02</t>
  </si>
  <si>
    <t>Filter</t>
  </si>
  <si>
    <t>Filter lokasi/divisi/status</t>
  </si>
  <si>
    <t>Ada data karyawan</t>
  </si>
  <si>
    <t>1) Pilih filter 2) Terapkan</t>
  </si>
  <si>
    <t>filter</t>
  </si>
  <si>
    <t>Daftar menyesuaikan filter</t>
  </si>
  <si>
    <t>TC-EMP-03</t>
  </si>
  <si>
    <t>Pencarian</t>
  </si>
  <si>
    <t>Cari nama/nomor karyawan</t>
  </si>
  <si>
    <t>1) Ketik kata kunci di pencarian</t>
  </si>
  <si>
    <t>kata kunci</t>
  </si>
  <si>
    <t>Hasil sesuai kata kunci</t>
  </si>
  <si>
    <t>TC-EMP-04</t>
  </si>
  <si>
    <t>Tambah</t>
  </si>
  <si>
    <t>Tambah karyawan valid</t>
  </si>
  <si>
    <t>Login (employees.create)</t>
  </si>
  <si>
    <t>1) Buka Tambah 2) Isi semua data wajib 3) Simpan</t>
  </si>
  <si>
    <t>data lengkap</t>
  </si>
  <si>
    <t>Karyawan + kontrak awal + event tercatat, pesan sukses</t>
  </si>
  <si>
    <t>TC-EMP-05</t>
  </si>
  <si>
    <t>Validasi</t>
  </si>
  <si>
    <t>Data wajib kosong</t>
  </si>
  <si>
    <t>1) Kosongkan field wajib 2) Simpan</t>
  </si>
  <si>
    <t>kosong</t>
  </si>
  <si>
    <t>Validasi gagal, field ditandai</t>
  </si>
  <si>
    <t>TC-EMP-06</t>
  </si>
  <si>
    <t>Akun Login</t>
  </si>
  <si>
    <t>Tambah karyawan + akun login</t>
  </si>
  <si>
    <t>1) Isi email + password login + peran 2) Simpan</t>
  </si>
  <si>
    <t>email+pwd+peran</t>
  </si>
  <si>
    <t>User login dibuat, peran ter-assign</t>
  </si>
  <si>
    <t>TC-EMP-07</t>
  </si>
  <si>
    <t>Validasi Unik</t>
  </si>
  <si>
    <t>Nomor karyawan duplikat</t>
  </si>
  <si>
    <t>Ada karyawan existing</t>
  </si>
  <si>
    <t>1) Isi nomor karyawan yang sudah ada 2) Simpan</t>
  </si>
  <si>
    <t>nomor duplikat</t>
  </si>
  <si>
    <t>Validasi gagal (harus unik)</t>
  </si>
  <si>
    <t>TC-EMP-08</t>
  </si>
  <si>
    <t>Edit</t>
  </si>
  <si>
    <t>Ubah data karyawan</t>
  </si>
  <si>
    <t>Ada karyawan</t>
  </si>
  <si>
    <t>1) Buka Edit 2) Ubah data 3) Simpan</t>
  </si>
  <si>
    <t>Perubahan tersimpan</t>
  </si>
  <si>
    <t>TC-EMP-09</t>
  </si>
  <si>
    <t>Detail</t>
  </si>
  <si>
    <t>Lihat detail karyawan</t>
  </si>
  <si>
    <t>1) Klik detail</t>
  </si>
  <si>
    <t>Menampilkan profil, kontrak, mapping PIN, riwayat event</t>
  </si>
  <si>
    <t>TC-EMP-10</t>
  </si>
  <si>
    <t>Resign</t>
  </si>
  <si>
    <t>Proses karyawan keluar</t>
  </si>
  <si>
    <t>Ada karyawan aktif</t>
  </si>
  <si>
    <t>1) Buka Resign 2) Isi alasan + tanggal 3) Proses</t>
  </si>
  <si>
    <t>alasan+tanggal</t>
  </si>
  <si>
    <t>Status jadi Tidak Aktif, tercatat alasan &amp; tanggal keluar</t>
  </si>
  <si>
    <t>TC-EMP-11</t>
  </si>
  <si>
    <t>Perpanjang Kontrak</t>
  </si>
  <si>
    <t>Renew kontrak karyawan</t>
  </si>
  <si>
    <t>1) Buka Perpanjang Kontrak 2) Isi data kontrak baru 3) Simpan</t>
  </si>
  <si>
    <t>kontrak baru</t>
  </si>
  <si>
    <t>Kontrak baru dibuat, event tercatat</t>
  </si>
  <si>
    <t>TC-EMP-12</t>
  </si>
  <si>
    <t>Hapus</t>
  </si>
  <si>
    <t>Hapus karyawan</t>
  </si>
  <si>
    <t>Login (employees.delete)</t>
  </si>
  <si>
    <t>1) Klik Hapus 2) Konfirmasi</t>
  </si>
  <si>
    <t>Karyawan terhapus (sesuai aturan)</t>
  </si>
  <si>
    <t>TC-EMP-13</t>
  </si>
  <si>
    <t>Export</t>
  </si>
  <si>
    <t>Export daftar ke Excel</t>
  </si>
  <si>
    <t>Ada data + filter aktif</t>
  </si>
  <si>
    <t>1) Klik Export</t>
  </si>
  <si>
    <t>filter aktif</t>
  </si>
  <si>
    <t>File .xlsx terunduh, isinya menghormati filter aktif</t>
  </si>
  <si>
    <t>TC-EMP-14</t>
  </si>
  <si>
    <t>Karyawan biasa akses menu Karyawan</t>
  </si>
  <si>
    <t>Login sbg employee</t>
  </si>
  <si>
    <t>1) Akses /employees</t>
  </si>
  <si>
    <t>TC-IMP-01</t>
  </si>
  <si>
    <t>Import Karyawan</t>
  </si>
  <si>
    <t>Template</t>
  </si>
  <si>
    <t>Unduh template import</t>
  </si>
  <si>
    <t>1) Buka modal Import 2) Klik Unduh Template</t>
  </si>
  <si>
    <t>File .xlsx terunduh berisi sheet "Data Karyawan" &amp; "Petunjuk Pengisian"</t>
  </si>
  <si>
    <t>TC-IMP-02</t>
  </si>
  <si>
    <t>Import Valid</t>
  </si>
  <si>
    <t>Import file valid</t>
  </si>
  <si>
    <t>Template terisi benar</t>
  </si>
  <si>
    <t>1) Pilih file 2) Import Sekarang</t>
  </si>
  <si>
    <t>file valid</t>
  </si>
  <si>
    <t>Data karyawan bertambah, pesan "Berhasil mengimpor N data"</t>
  </si>
  <si>
    <t>TC-IMP-03</t>
  </si>
  <si>
    <t>File tanpa data</t>
  </si>
  <si>
    <t>1) Import file hanya berisi header</t>
  </si>
  <si>
    <t>header saja</t>
  </si>
  <si>
    <t>Ditolak, pesan "File tidak berisi data karyawan"</t>
  </si>
  <si>
    <t>TC-IMP-04</t>
  </si>
  <si>
    <t>File format salah/bukan template</t>
  </si>
  <si>
    <t>1) Import file rusak/format lain</t>
  </si>
  <si>
    <t>file salah</t>
  </si>
  <si>
    <t>Ditolak, pesan gagal membaca file</t>
  </si>
  <si>
    <t>TC-IMP-05</t>
  </si>
  <si>
    <t>Kolom wajib kosong</t>
  </si>
  <si>
    <t>1) Kosongkan kolom wajib pada 1 baris 2) Import</t>
  </si>
  <si>
    <t>baris tak lengkap</t>
  </si>
  <si>
    <t>Import dibatalkan, error per baris (mis. "Baris 3: kolom ... wajib diisi")</t>
  </si>
  <si>
    <t>TC-IMP-06</t>
  </si>
  <si>
    <t>Duplikat dalam file</t>
  </si>
  <si>
    <t>1) Isi 2 baris dgn Nomor Karyawan sama 2) Import</t>
  </si>
  <si>
    <t>duplikat in-file</t>
  </si>
  <si>
    <t>Error "muncul lebih dari sekali di file ini"</t>
  </si>
  <si>
    <t>TC-IMP-07</t>
  </si>
  <si>
    <t>Auto-create Master</t>
  </si>
  <si>
    <t>Lokasi/Divisi/Jabatan baru</t>
  </si>
  <si>
    <t>Nama belum terdaftar</t>
  </si>
  <si>
    <t>1) Isi Lokasi/Divisi/Jabatan baru 2) Import</t>
  </si>
  <si>
    <t>nama baru</t>
  </si>
  <si>
    <t>Master data dibuat otomatis &amp; saling tertaut; import sukses</t>
  </si>
  <si>
    <t>TC-IMP-08</t>
  </si>
  <si>
    <t>PIN Opsional</t>
  </si>
  <si>
    <t>PIN dikosongkan</t>
  </si>
  <si>
    <t>1) Kosongkan PIN &amp; Serial 2) Import</t>
  </si>
  <si>
    <t>tanpa PIN</t>
  </si>
  <si>
    <t>Karyawan dibuat tanpa mapping PIN</t>
  </si>
  <si>
    <t>TC-IMP-09</t>
  </si>
  <si>
    <t>Validasi Serial</t>
  </si>
  <si>
    <t>PIN diisi, Serial kosong</t>
  </si>
  <si>
    <t>1) Isi PIN, kosongkan Serial 2) Import</t>
  </si>
  <si>
    <t>PIN tanpa serial</t>
  </si>
  <si>
    <t>Error "Serial Number wajib diisi jika PIN diisi"</t>
  </si>
  <si>
    <t>TC-IMP-10</t>
  </si>
  <si>
    <t>Serial tak terdaftar</t>
  </si>
  <si>
    <t>Mesin belum terdaftar</t>
  </si>
  <si>
    <t>1) Isi Serial asing 2) Import</t>
  </si>
  <si>
    <t>serial asing</t>
  </si>
  <si>
    <t>Error "Serial Number ... tidak ditemukan"</t>
  </si>
  <si>
    <t>TC-IMP-11</t>
  </si>
  <si>
    <t>PIN + Serial</t>
  </si>
  <si>
    <t>PIN &amp; Serial valid</t>
  </si>
  <si>
    <t>Mesin terdaftar</t>
  </si>
  <si>
    <t>1) Isi PIN + Serial mesin terdaftar 2) Import</t>
  </si>
  <si>
    <t>PIN+serial valid</t>
  </si>
  <si>
    <t>PIN terdaftar pada mesin tersebut (mapping device-specific)</t>
  </si>
  <si>
    <t>TC-IMP-12</t>
  </si>
  <si>
    <t>PIN Unik</t>
  </si>
  <si>
    <t>PIN sama beda mesin</t>
  </si>
  <si>
    <t>2 mesin terdaftar</t>
  </si>
  <si>
    <t>1) 2 karyawan PIN sama, serial berbeda 2) Import</t>
  </si>
  <si>
    <t>PIN sama, mesin beda</t>
  </si>
  <si>
    <t>Diperbolehkan (PIN unik per mesin)</t>
  </si>
  <si>
    <t>TC-IMP-13</t>
  </si>
  <si>
    <t>PIN duplikat mesin sama</t>
  </si>
  <si>
    <t>1 mesin</t>
  </si>
  <si>
    <t>1) 2 karyawan PIN &amp; serial sama 2) Import</t>
  </si>
  <si>
    <t>PIN sama, mesin sama</t>
  </si>
  <si>
    <t>Error "PIN ... sudah dipakai / muncul lebih dari sekali"</t>
  </si>
  <si>
    <t>TC-IMP-14</t>
  </si>
  <si>
    <t>Email + Password Login</t>
  </si>
  <si>
    <t>Peran valid</t>
  </si>
  <si>
    <t>1) Isi Email + Password Login (+Peran) 2) Import</t>
  </si>
  <si>
    <t>email+pwd</t>
  </si>
  <si>
    <t>Akun login dibuat, peran ter-assign</t>
  </si>
  <si>
    <t>TC-IMP-15</t>
  </si>
  <si>
    <t>Validasi Akun</t>
  </si>
  <si>
    <t>Password &lt; 8 karakter</t>
  </si>
  <si>
    <t>1) Isi Password Login pendek 2) Import</t>
  </si>
  <si>
    <t>pwd&lt;8</t>
  </si>
  <si>
    <t>Error "Password Login minimal 8 karakter"</t>
  </si>
  <si>
    <t>TC-IMP-16</t>
  </si>
  <si>
    <t>Peran Login tidak dikenal</t>
  </si>
  <si>
    <t>1) Isi Peran Login asing 2) Import</t>
  </si>
  <si>
    <t>peran asing</t>
  </si>
  <si>
    <t>Error "Peran Login ... tidak ditemukan"</t>
  </si>
  <si>
    <t>TC-IMP-17</t>
  </si>
  <si>
    <t>Password tanpa Email</t>
  </si>
  <si>
    <t>1) Isi Password Login, kosongkan Email 2) Import</t>
  </si>
  <si>
    <t>pwd tanpa email</t>
  </si>
  <si>
    <t>Error "Email wajib diisi jika Password Login diisi"</t>
  </si>
  <si>
    <t>TC-IMP-18</t>
  </si>
  <si>
    <t>Rincian Kesalahan</t>
  </si>
  <si>
    <t>Tombol unduh muncul saat gagal</t>
  </si>
  <si>
    <t>Import gagal</t>
  </si>
  <si>
    <t>1) Import file bermasalah</t>
  </si>
  <si>
    <t>Modal menampilkan daftar error + tombol "Unduh File dengan Rincian Kesalahan"</t>
  </si>
  <si>
    <t>TC-IMP-19</t>
  </si>
  <si>
    <t>Isi file rincian kesalahan</t>
  </si>
  <si>
    <t>1) Klik tombol unduh rincian 2) Buka file</t>
  </si>
  <si>
    <t>File = salinan upload + sel bermasalah ditandai merah + kolom "Kesalahan" + sheet "Kesalahan" (Baris/Kolom/Keterangan)</t>
  </si>
  <si>
    <t>TC-IMP-20</t>
  </si>
  <si>
    <t>All-or-Nothing</t>
  </si>
  <si>
    <t>1 baris salah membatalkan semua</t>
  </si>
  <si>
    <t>File 10 baris, 1 salah</t>
  </si>
  <si>
    <t>1) Import</t>
  </si>
  <si>
    <t>1 baris salah</t>
  </si>
  <si>
    <t>Tidak ada data tersimpan sama sekali (atomik)</t>
  </si>
  <si>
    <t>TC-IMP-21</t>
  </si>
  <si>
    <t>Referensi Atasan</t>
  </si>
  <si>
    <t>Atasan mengacu baris di file</t>
  </si>
  <si>
    <t>Nomor atasan ada di file</t>
  </si>
  <si>
    <t>1) Isi Nomor Karyawan Atasan yang barisnya ada di file 2) Import</t>
  </si>
  <si>
    <t>ref in-file</t>
  </si>
  <si>
    <t>Valid; relasi atasan terpasang setelah import</t>
  </si>
  <si>
    <t>TC-IMP-22</t>
  </si>
  <si>
    <t>Validasi Tanggal</t>
  </si>
  <si>
    <t>Format tanggal salah</t>
  </si>
  <si>
    <t>1) Isi tanggal format salah 2) Import</t>
  </si>
  <si>
    <t>tanggal salah</t>
  </si>
  <si>
    <t>Error format tanggal (gunakan YYYY-MM-DD)</t>
  </si>
  <si>
    <t>TC-IMP-23</t>
  </si>
  <si>
    <t>Aturan Kontrak</t>
  </si>
  <si>
    <t>PKWTT vs non-PKWTT tgl selesai</t>
  </si>
  <si>
    <t>1a) PKWTT tanpa tgl selesai 1b) PKWT tanpa tgl selesai</t>
  </si>
  <si>
    <t>jenis kontrak</t>
  </si>
  <si>
    <t>1a valid; 1b error "Tanggal Selesai wajib untuk selain PKWTT"</t>
  </si>
  <si>
    <t>TC-ORG-01</t>
  </si>
  <si>
    <t>Organisasi</t>
  </si>
  <si>
    <t>Struktur</t>
  </si>
  <si>
    <t>Lihat struktur organisasi</t>
  </si>
  <si>
    <t>Login (organization.view)</t>
  </si>
  <si>
    <t>1) Buka /organization</t>
  </si>
  <si>
    <t>Struktur organisasi tampil</t>
  </si>
  <si>
    <t>Rendah</t>
  </si>
  <si>
    <t>TC-ORG-02</t>
  </si>
  <si>
    <t>Lokasi Kerja</t>
  </si>
  <si>
    <t>CRUD Lokasi Kerja</t>
  </si>
  <si>
    <t>Login (organization.create/update/delete)</t>
  </si>
  <si>
    <t>1) Tambah/Edit/Hapus lokasi</t>
  </si>
  <si>
    <t>data lokasi</t>
  </si>
  <si>
    <t>Data lokasi tersimpan/terubah/terhapus</t>
  </si>
  <si>
    <t>TC-ORG-03</t>
  </si>
  <si>
    <t>Divisi</t>
  </si>
  <si>
    <t>CRUD Divisi</t>
  </si>
  <si>
    <t>1) Tambah/Edit/Hapus divisi</t>
  </si>
  <si>
    <t>data divisi</t>
  </si>
  <si>
    <t>Data divisi tersimpan/terubah/terhapus</t>
  </si>
  <si>
    <t>TC-ORG-04</t>
  </si>
  <si>
    <t>Jabatan</t>
  </si>
  <si>
    <t>CRUD Jabatan</t>
  </si>
  <si>
    <t>1) Tambah/Edit/Hapus jabatan</t>
  </si>
  <si>
    <t>data jabatan</t>
  </si>
  <si>
    <t>Data jabatan tersimpan/terubah/terhapus</t>
  </si>
  <si>
    <t>TC-ORG-05</t>
  </si>
  <si>
    <t>Tautan Divisi</t>
  </si>
  <si>
    <t>Kaitkan divisi ke lokasi</t>
  </si>
  <si>
    <t>1) Buka Hak Akses &gt; cabang 2) Atur divisi aktif per lokasi</t>
  </si>
  <si>
    <t>Relasi lokasi–divisi tersimpan</t>
  </si>
  <si>
    <t>TC-SHF-01</t>
  </si>
  <si>
    <t>Absensi</t>
  </si>
  <si>
    <t>Shift</t>
  </si>
  <si>
    <t>CRUD Shift kerja</t>
  </si>
  <si>
    <t>Login (attendance.*)</t>
  </si>
  <si>
    <t>1) Tambah/Edit/Hapus shift (jam masuk/keluar)</t>
  </si>
  <si>
    <t>data shift</t>
  </si>
  <si>
    <t>Shift tersimpan/terubah/terhapus</t>
  </si>
  <si>
    <t>TC-HOL-01</t>
  </si>
  <si>
    <t>Hari Libur</t>
  </si>
  <si>
    <t>CRUD Hari Libur</t>
  </si>
  <si>
    <t>1) Tambah/Edit/Hapus hari libur</t>
  </si>
  <si>
    <t>tanggal libur</t>
  </si>
  <si>
    <t>Hari libur tersimpan; diperhitungkan pada roster/absensi</t>
  </si>
  <si>
    <t>TC-PAT-01</t>
  </si>
  <si>
    <t>Pola Jadwal</t>
  </si>
  <si>
    <t>CRUD Pola Jadwal</t>
  </si>
  <si>
    <t>1) Tambah/Edit/Hapus pola (mis. Jam Kantor Sen–Sab)</t>
  </si>
  <si>
    <t>pola</t>
  </si>
  <si>
    <t>Pola tersimpan</t>
  </si>
  <si>
    <t>TC-SCH-01</t>
  </si>
  <si>
    <t>Jadwal</t>
  </si>
  <si>
    <t>Assign jadwal ke karyawan</t>
  </si>
  <si>
    <t>Ada pola &amp; karyawan</t>
  </si>
  <si>
    <t>1) Buka Assign 2) Pilih karyawan+pola 3) Simpan</t>
  </si>
  <si>
    <t>assignment</t>
  </si>
  <si>
    <t>Jadwal ter-assign</t>
  </si>
  <si>
    <t>TC-SCH-02</t>
  </si>
  <si>
    <t>Generate roster otomatis</t>
  </si>
  <si>
    <t>Ada assignment/pola</t>
  </si>
  <si>
    <t>1) Klik Generate</t>
  </si>
  <si>
    <t>periode</t>
  </si>
  <si>
    <t>Roster harian terbentuk sesuai pola</t>
  </si>
  <si>
    <t>TC-SCH-03</t>
  </si>
  <si>
    <t>Override jadwal 1 hari</t>
  </si>
  <si>
    <t>Ada roster</t>
  </si>
  <si>
    <t>1) Override shift untuk tanggal tertentu</t>
  </si>
  <si>
    <t>override</t>
  </si>
  <si>
    <t>Jadwal tanggal itu berubah</t>
  </si>
  <si>
    <t>TC-SCH-04</t>
  </si>
  <si>
    <t>Hapus assignment</t>
  </si>
  <si>
    <t>Ada assignment</t>
  </si>
  <si>
    <t>1) Hapus assignment</t>
  </si>
  <si>
    <t>Assignment terhapus</t>
  </si>
  <si>
    <t>TC-DEV-01</t>
  </si>
  <si>
    <t>Mesin</t>
  </si>
  <si>
    <t>Daftar &amp; tambah mesin</t>
  </si>
  <si>
    <t>Login (attendance.create)</t>
  </si>
  <si>
    <t>1) Buka Devices 2) Tambah mesin (serial, nama)</t>
  </si>
  <si>
    <t>serial unik</t>
  </si>
  <si>
    <t>Mesin tersimpan &amp; muncul di daftar</t>
  </si>
  <si>
    <t>TC-DEV-02</t>
  </si>
  <si>
    <t>Serial duplikat</t>
  </si>
  <si>
    <t>Ada mesin existing</t>
  </si>
  <si>
    <t>1) Tambah mesin serial sama 2) Simpan</t>
  </si>
  <si>
    <t>serial duplikat</t>
  </si>
  <si>
    <t>Validasi gagal (serial harus unik)</t>
  </si>
  <si>
    <t>TC-DEV-03</t>
  </si>
  <si>
    <t>Monitor status mesin</t>
  </si>
  <si>
    <t>Ada mesin</t>
  </si>
  <si>
    <t>1) Buka Devices &gt; Monitor</t>
  </si>
  <si>
    <t>Menampilkan status Online/Offline/Nonaktif</t>
  </si>
  <si>
    <t>TC-DEV-04</t>
  </si>
  <si>
    <t>Kirim command ke mesin</t>
  </si>
  <si>
    <t xml:space="preserve">1) Kirim perintah (mis. sinkron) </t>
  </si>
  <si>
    <t>command</t>
  </si>
  <si>
    <t>Perintah masuk antrian mesin</t>
  </si>
  <si>
    <t>TC-DEV-05</t>
  </si>
  <si>
    <t>Mapping PIN → karyawan</t>
  </si>
  <si>
    <t>Ada mesin &amp; karyawan</t>
  </si>
  <si>
    <t>1) Tambah mapping 2) Simpan</t>
  </si>
  <si>
    <t>pin+karyawan</t>
  </si>
  <si>
    <t>Mapping tersimpan; punch PIN itu ter-match</t>
  </si>
  <si>
    <t>TC-DEV-06</t>
  </si>
  <si>
    <t>Hapus mapping</t>
  </si>
  <si>
    <t>Ada mapping</t>
  </si>
  <si>
    <t>1) Hapus mapping</t>
  </si>
  <si>
    <t>Mapping terhapus</t>
  </si>
  <si>
    <t>TC-ICL-01</t>
  </si>
  <si>
    <t>iclock</t>
  </si>
  <si>
    <t>Mesin push data absensi (POST)</t>
  </si>
  <si>
    <t>Serial terdaftar &amp; aktif</t>
  </si>
  <si>
    <t>1) Kirim POST iclock/cdata dgn ATTLOG</t>
  </si>
  <si>
    <t>payload ATTLOG</t>
  </si>
  <si>
    <t>Punch tersimpan (idempoten), ter-match bila PIN dikenal</t>
  </si>
  <si>
    <t>TC-ICL-02</t>
  </si>
  <si>
    <t>Serial tak dikenal ditolak</t>
  </si>
  <si>
    <t>1) Kirim POST dgn serial asing</t>
  </si>
  <si>
    <t>Ditolak (allowlist serial)</t>
  </si>
  <si>
    <t>TC-ICL-03</t>
  </si>
  <si>
    <t>Handshake mesin (GET)</t>
  </si>
  <si>
    <t>Serial terdaftar</t>
  </si>
  <si>
    <t>1) Kirim GET iclock/cdata</t>
  </si>
  <si>
    <t>Merespon konfigurasi handshake</t>
  </si>
  <si>
    <t>TC-PUN-01</t>
  </si>
  <si>
    <t>Punch</t>
  </si>
  <si>
    <t>Lihat daftar punch</t>
  </si>
  <si>
    <t>Ada punch</t>
  </si>
  <si>
    <t>1) Buka Punches</t>
  </si>
  <si>
    <t>Daftar punch (matched/unmatched) tampil</t>
  </si>
  <si>
    <t>TC-PUN-02</t>
  </si>
  <si>
    <t>Assign punch unmatched</t>
  </si>
  <si>
    <t>Ada punch unmatched</t>
  </si>
  <si>
    <t>1) Pilih punch 2) Assign ke karyawan</t>
  </si>
  <si>
    <t>karyawan</t>
  </si>
  <si>
    <t>Punch ter-match; absensi terkait dihitung ulang</t>
  </si>
  <si>
    <t>TC-PUN-03</t>
  </si>
  <si>
    <t>Abaikan punch</t>
  </si>
  <si>
    <t>1) Klik Ignore</t>
  </si>
  <si>
    <t>Punch berstatus diabaikan</t>
  </si>
  <si>
    <t>TC-ATT-01</t>
  </si>
  <si>
    <t>Harian</t>
  </si>
  <si>
    <t>Rekap absensi harian</t>
  </si>
  <si>
    <t>Ada data punch</t>
  </si>
  <si>
    <t>1) Buka Absensi Harian 2) Pilih tanggal</t>
  </si>
  <si>
    <t>tanggal</t>
  </si>
  <si>
    <t>Rekap hadir/terlambat/pulang tampil</t>
  </si>
  <si>
    <t>TC-ATT-02</t>
  </si>
  <si>
    <t>Proses ulang absensi</t>
  </si>
  <si>
    <t>1) Klik Proses</t>
  </si>
  <si>
    <t>Absensi dihitung ulang dari punch &amp; jadwal</t>
  </si>
  <si>
    <t>TC-ATT-03</t>
  </si>
  <si>
    <t>Input punch manual</t>
  </si>
  <si>
    <t>1) Tambah punch manual utk karyawan</t>
  </si>
  <si>
    <t>punch manual</t>
  </si>
  <si>
    <t>Punch tercatat &amp; memengaruhi rekap</t>
  </si>
  <si>
    <t>TC-COR-01</t>
  </si>
  <si>
    <t>Koreksi Absensi</t>
  </si>
  <si>
    <t>Ajukan</t>
  </si>
  <si>
    <t>Karyawan ajukan koreksi</t>
  </si>
  <si>
    <t>Login (attendance.correction)</t>
  </si>
  <si>
    <t>1) Buka /my-attendance 2) Ajukan koreksi</t>
  </si>
  <si>
    <t>alasan+waktu</t>
  </si>
  <si>
    <t>Pengajuan koreksi tercatat (pending)</t>
  </si>
  <si>
    <t>TC-COR-02</t>
  </si>
  <si>
    <t>Batal</t>
  </si>
  <si>
    <t>Batalkan koreksi pending</t>
  </si>
  <si>
    <t>Ada koreksi pending milik sendiri</t>
  </si>
  <si>
    <t>1) Batalkan</t>
  </si>
  <si>
    <t>Koreksi dibatalkan</t>
  </si>
  <si>
    <t>TC-COR-03</t>
  </si>
  <si>
    <t>Approve</t>
  </si>
  <si>
    <t>HR menyetujui koreksi</t>
  </si>
  <si>
    <t>Ada koreksi pending</t>
  </si>
  <si>
    <t>1) Buka Corrections 2) Approve</t>
  </si>
  <si>
    <t>Absensi diperbarui sesuai koreksi</t>
  </si>
  <si>
    <t>TC-COR-04</t>
  </si>
  <si>
    <t>Reject</t>
  </si>
  <si>
    <t>HR menolak koreksi</t>
  </si>
  <si>
    <t>1) Reject</t>
  </si>
  <si>
    <t>alasan</t>
  </si>
  <si>
    <t>Koreksi ditolak, absensi tidak berubah</t>
  </si>
  <si>
    <t>TC-LVT-01</t>
  </si>
  <si>
    <t>Cuti</t>
  </si>
  <si>
    <t>Jenis Cuti</t>
  </si>
  <si>
    <t>CRUD Jenis Cuti</t>
  </si>
  <si>
    <t>1) Tambah/Edit/Hapus jenis cuti</t>
  </si>
  <si>
    <t>data jenis cuti</t>
  </si>
  <si>
    <t>Jenis cuti tersimpan/terubah/terhapus</t>
  </si>
  <si>
    <t>TC-LVB-01</t>
  </si>
  <si>
    <t>Kuota</t>
  </si>
  <si>
    <t>Atur kuota cuti per karyawan</t>
  </si>
  <si>
    <t>Ada jenis cuti &amp; karyawan</t>
  </si>
  <si>
    <t>1) Buka Leave Balances 2) Isi kuota 3) Simpan</t>
  </si>
  <si>
    <t>kuota</t>
  </si>
  <si>
    <t>Kuota tersimpan per karyawan</t>
  </si>
  <si>
    <t>TC-MLV-01</t>
  </si>
  <si>
    <t>Pengajuan</t>
  </si>
  <si>
    <t>Karyawan ajukan cuti</t>
  </si>
  <si>
    <t>Login (leave.request), kuota tersedia</t>
  </si>
  <si>
    <t>1) Buka /my-leave 2) Ajukan cuti</t>
  </si>
  <si>
    <t>tanggal+jenis</t>
  </si>
  <si>
    <t>Pengajuan tercatat (pending)</t>
  </si>
  <si>
    <t>TC-MLV-02</t>
  </si>
  <si>
    <t>Validasi Kuota</t>
  </si>
  <si>
    <t>Ajukan melebihi kuota</t>
  </si>
  <si>
    <t>Kuota kurang</t>
  </si>
  <si>
    <t>1) Ajukan durasi &gt; sisa kuota</t>
  </si>
  <si>
    <t>durasi besar</t>
  </si>
  <si>
    <t>Ditolak, pesan kuota tidak mencukupi</t>
  </si>
  <si>
    <t>TC-MLV-03</t>
  </si>
  <si>
    <t>Validasi Overlap</t>
  </si>
  <si>
    <t>Tanggal tumpang tindih</t>
  </si>
  <si>
    <t>Ada cuti aktif</t>
  </si>
  <si>
    <t>1) Ajukan tanggal beririsan</t>
  </si>
  <si>
    <t>tgl overlap</t>
  </si>
  <si>
    <t>Ditolak, pesan tanggal bentrok</t>
  </si>
  <si>
    <t>TC-MLV-04</t>
  </si>
  <si>
    <t>Batalkan pengajuan cuti</t>
  </si>
  <si>
    <t>Ada pengajuan pending</t>
  </si>
  <si>
    <t>Pengajuan dibatalkan; kuota kembali (bila sudah dipotong)</t>
  </si>
  <si>
    <t>TC-MLV-05</t>
  </si>
  <si>
    <t>Persetujuan</t>
  </si>
  <si>
    <t>Atasan setujui cuti bawahan</t>
  </si>
  <si>
    <t>Login sbg atasan</t>
  </si>
  <si>
    <t>1) Buka /my-leave 2) Approve</t>
  </si>
  <si>
    <t>Cuti disetujui; kuota terpotong; notifikasi terkirim</t>
  </si>
  <si>
    <t>Atasan</t>
  </si>
  <si>
    <t>TC-MLV-06</t>
  </si>
  <si>
    <t>Atasan tolak cuti bawahan</t>
  </si>
  <si>
    <t>Cuti ditolak; kuota tidak terpotong</t>
  </si>
  <si>
    <t>TC-LEA-01</t>
  </si>
  <si>
    <t>Admin</t>
  </si>
  <si>
    <t>HR kelola semua cuti</t>
  </si>
  <si>
    <t>1) Buka Leave 2) Approve/Reject/Hapus</t>
  </si>
  <si>
    <t>Aksi berhasil sesuai izin</t>
  </si>
  <si>
    <t>TC-MOT-01</t>
  </si>
  <si>
    <t>Lembur</t>
  </si>
  <si>
    <t>Karyawan ajukan lembur</t>
  </si>
  <si>
    <t>Login (overtime.request)</t>
  </si>
  <si>
    <t>1) Buka /my-overtime 2) Ajukan</t>
  </si>
  <si>
    <t>tgl+durasi</t>
  </si>
  <si>
    <t>Pengajuan lembur tercatat (pending)</t>
  </si>
  <si>
    <t>TC-MOT-02</t>
  </si>
  <si>
    <t>Atasan approve/reject lembur</t>
  </si>
  <si>
    <t>1) Approve/Reject</t>
  </si>
  <si>
    <t>Status lembur diperbarui; notifikasi terkirim</t>
  </si>
  <si>
    <t>TC-MOT-03</t>
  </si>
  <si>
    <t>Batalkan lembur</t>
  </si>
  <si>
    <t>Pengajuan dibatalkan</t>
  </si>
  <si>
    <t>TC-OVT-01</t>
  </si>
  <si>
    <t>Rekap</t>
  </si>
  <si>
    <t>HR monitor &amp; recap lembur</t>
  </si>
  <si>
    <t>Login (attendance.view)</t>
  </si>
  <si>
    <t>1) Buka Overtime 2) Buka Recap</t>
  </si>
  <si>
    <t>Rekap total lembur (disetujui) tampil</t>
  </si>
  <si>
    <t>TC-SWP-01</t>
  </si>
  <si>
    <t>Tukar Shift</t>
  </si>
  <si>
    <t>Karyawan ajukan tukar shift</t>
  </si>
  <si>
    <t>Login (schedule.swap)</t>
  </si>
  <si>
    <t>1) Buka /my-schedule 2) Ajukan swap ke rekan</t>
  </si>
  <si>
    <t>rekan+tanggal</t>
  </si>
  <si>
    <t>Pengajuan swap tercatat</t>
  </si>
  <si>
    <t>TC-SWP-02</t>
  </si>
  <si>
    <t>Respon</t>
  </si>
  <si>
    <t>Rekan merespon permintaan</t>
  </si>
  <si>
    <t>Ada swap tertuju</t>
  </si>
  <si>
    <t>1) Terima/Tolak</t>
  </si>
  <si>
    <t>Status swap diperbarui</t>
  </si>
  <si>
    <t>TC-SWP-03</t>
  </si>
  <si>
    <t>HR approve/reject swap</t>
  </si>
  <si>
    <t>Ada swap disetujui rekan</t>
  </si>
  <si>
    <t>Jadwal tertukar bila disetujui</t>
  </si>
  <si>
    <t>TC-SWP-04</t>
  </si>
  <si>
    <t>Batalkan swap</t>
  </si>
  <si>
    <t>Ada swap pending</t>
  </si>
  <si>
    <t>Swap dibatalkan</t>
  </si>
  <si>
    <t>TC-RPT-01</t>
  </si>
  <si>
    <t>Laporan</t>
  </si>
  <si>
    <t>Laporan absensi per periode</t>
  </si>
  <si>
    <t>1) Buka Reports &gt; Attendance 2) Pilih periode</t>
  </si>
  <si>
    <t>Laporan absensi tampil</t>
  </si>
  <si>
    <t>TC-RPT-02</t>
  </si>
  <si>
    <t>Export absensi Excel</t>
  </si>
  <si>
    <t>1) Klik Export Excel</t>
  </si>
  <si>
    <t>File .xlsx terunduh</t>
  </si>
  <si>
    <t>TC-RPT-03</t>
  </si>
  <si>
    <t>Export absensi PDF</t>
  </si>
  <si>
    <t>1) Klik Export PDF</t>
  </si>
  <si>
    <t>File .pdf terunduh</t>
  </si>
  <si>
    <t>TC-RPT-04</t>
  </si>
  <si>
    <t>Detail absensi per karyawan</t>
  </si>
  <si>
    <t>Ada data</t>
  </si>
  <si>
    <t>1) Buka detail karyawan</t>
  </si>
  <si>
    <t>Rincian absensi karyawan tampil</t>
  </si>
  <si>
    <t>TC-RPT-05</t>
  </si>
  <si>
    <t>Laporan cuti + export</t>
  </si>
  <si>
    <t>1) Buka Reports &gt; Leave 2) Export Excel/PDF</t>
  </si>
  <si>
    <t>Laporan cuti tampil &amp; terunduh</t>
  </si>
  <si>
    <t>TC-NOT-01</t>
  </si>
  <si>
    <t>Notifikasi</t>
  </si>
  <si>
    <t>Badge</t>
  </si>
  <si>
    <t>Jumlah notifikasi belum dibaca</t>
  </si>
  <si>
    <t>Ada notifikasi</t>
  </si>
  <si>
    <t>1) Lihat badge notifikasi</t>
  </si>
  <si>
    <t>Menampilkan jumlah belum dibaca</t>
  </si>
  <si>
    <t>TC-NOT-02</t>
  </si>
  <si>
    <t>Baca Semua</t>
  </si>
  <si>
    <t>Tandai semua dibaca</t>
  </si>
  <si>
    <t>1) Klik Tandai semua dibaca</t>
  </si>
  <si>
    <t>Semua notifikasi jadi terbaca, badge 0</t>
  </si>
  <si>
    <t>TC-NOT-03</t>
  </si>
  <si>
    <t>Buka</t>
  </si>
  <si>
    <t>Klik notifikasi</t>
  </si>
  <si>
    <t>1) Klik satu notifikasi</t>
  </si>
  <si>
    <t>Ditandai terbaca &amp; diarahkan ke halaman terkait</t>
  </si>
  <si>
    <t>TC-ACC-01</t>
  </si>
  <si>
    <t>Hak Akses</t>
  </si>
  <si>
    <t>Matrix</t>
  </si>
  <si>
    <t>Lihat peran &amp; izin</t>
  </si>
  <si>
    <t>Login (access-control.view)</t>
  </si>
  <si>
    <t>1) Buka /access-control</t>
  </si>
  <si>
    <t>Matrix peran–izin tampil</t>
  </si>
  <si>
    <t>TC-ACC-02</t>
  </si>
  <si>
    <t>Ubah Izin</t>
  </si>
  <si>
    <t>Ubah izin sebuah peran</t>
  </si>
  <si>
    <t>Login (access-control.update)</t>
  </si>
  <si>
    <t>1) Ubah izin 2) Simpan</t>
  </si>
  <si>
    <t>izin</t>
  </si>
  <si>
    <t>Izin peran diperbarui, berpengaruh ke akses</t>
  </si>
  <si>
    <t>TC-ACC-03</t>
  </si>
  <si>
    <t>Peran Default</t>
  </si>
  <si>
    <t>Set peran default jabatan</t>
  </si>
  <si>
    <t>1) Set default role jabatan 2) Simpan</t>
  </si>
  <si>
    <t>peran default</t>
  </si>
  <si>
    <t>Karyawan baru pada jabatan itu mewarisi peran default</t>
  </si>
  <si>
    <t>TC-ACC-04</t>
  </si>
  <si>
    <t>Tanpa izin access-control.view</t>
  </si>
  <si>
    <t>User biasa</t>
  </si>
  <si>
    <t>1) Akses /access-control</t>
  </si>
  <si>
    <t>TC-SEC-01</t>
  </si>
  <si>
    <t>Keamanan</t>
  </si>
  <si>
    <t>Otorisasi Peran</t>
  </si>
  <si>
    <t>Karyawan tak bisa buka menu HR</t>
  </si>
  <si>
    <t>1) Coba akses URL menu HR (employees/attendance/reports)</t>
  </si>
  <si>
    <t>Semua ditolak (HTTP 403)</t>
  </si>
  <si>
    <t>TC-SEC-02</t>
  </si>
  <si>
    <t>CSRF</t>
  </si>
  <si>
    <t>Form dilindungi CSRF</t>
  </si>
  <si>
    <t>1) Submit form tanpa token CSRF</t>
  </si>
  <si>
    <t>tanpa token</t>
  </si>
  <si>
    <t>Ditolak (419/expired)</t>
  </si>
  <si>
    <t>TC-SEC-03</t>
  </si>
  <si>
    <t>Isolasi Data</t>
  </si>
  <si>
    <t>Self-service hanya data sendiri</t>
  </si>
  <si>
    <t>Login sbg karyawan A</t>
  </si>
  <si>
    <t>1) Coba lihat data karyawan B via self-service</t>
  </si>
  <si>
    <t>id karyawan lain</t>
  </si>
  <si>
    <t>Tidak dapat mengakses data karyawan lain</t>
  </si>
  <si>
    <t>TC-SEC-04</t>
  </si>
  <si>
    <t>Session</t>
  </si>
  <si>
    <t>Sesi berakhir setelah logout</t>
  </si>
  <si>
    <t>Sudah logout</t>
  </si>
  <si>
    <t>1) Tekan Back / akses ulang halaman</t>
  </si>
  <si>
    <t>Diarahkan ke login (tidak bisa akses)</t>
  </si>
  <si>
    <t>RINGKASAN HASIL PENGUJIAN</t>
  </si>
  <si>
    <t>Terisi otomatis dari sheet "Test Scenario". Ubah kolom Status di sana untuk memperbarui angka.</t>
  </si>
  <si>
    <t>Metrik</t>
  </si>
  <si>
    <t>Jumlah</t>
  </si>
  <si>
    <t>Persentase</t>
  </si>
  <si>
    <t>Total Kasus Uji</t>
  </si>
  <si>
    <t>Pass</t>
  </si>
  <si>
    <t>Fail</t>
  </si>
  <si>
    <t>Blocked</t>
  </si>
  <si>
    <t>Not Run (belum diuji)</t>
  </si>
  <si>
    <t>Per Prioritas</t>
  </si>
</sst>
</file>

<file path=xl/styles.xml><?xml version="1.0" encoding="utf-8"?>
<styleSheet xmlns="http://schemas.openxmlformats.org/spreadsheetml/2006/main" xml:space="preserve">
  <numFmts count="1">
    <numFmt numFmtId="164" formatCode="0.0%"/>
  </numFmts>
  <fonts count="1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F3A5F"/>
      <name val="Calibri"/>
    </font>
    <font>
      <b val="0"/>
      <i val="1"/>
      <strike val="0"/>
      <u val="none"/>
      <sz val="11"/>
      <color rgb="FF2F5B8F"/>
      <name val="Calibri"/>
    </font>
    <font>
      <b val="1"/>
      <i val="0"/>
      <strike val="0"/>
      <u val="none"/>
      <sz val="11"/>
      <color rgb="FF1F3A5F"/>
      <name val="Calibri"/>
    </font>
    <font>
      <b val="1"/>
      <i val="0"/>
      <strike val="0"/>
      <u val="none"/>
      <sz val="12"/>
      <color rgb="FF1F3A5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1F3A5F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1F3A5F"/>
      <name val="Calibri"/>
    </font>
    <font>
      <b val="0"/>
      <i val="1"/>
      <strike val="0"/>
      <u val="none"/>
      <sz val="9"/>
      <color rgb="FF6B728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1F3A5F"/>
        <bgColor rgb="FF000000"/>
      </patternFill>
    </fill>
    <fill>
      <patternFill patternType="solid">
        <fgColor rgb="FFF2F4F7"/>
        <bgColor rgb="FF000000"/>
      </patternFill>
    </fill>
    <fill>
      <patternFill patternType="solid">
        <fgColor rgb="FF2F5B8F"/>
        <bgColor rgb="FF000000"/>
      </patternFill>
    </fill>
    <fill>
      <patternFill patternType="solid">
        <fgColor rgb="FFE7F5EA"/>
        <bgColor rgb="FF000000"/>
      </patternFill>
    </fill>
    <fill>
      <patternFill patternType="solid">
        <fgColor rgb="FFFDEBEC"/>
        <bgColor rgb="FF000000"/>
      </patternFill>
    </fill>
    <fill>
      <patternFill patternType="solid">
        <fgColor rgb="FFFEF6E7"/>
        <bgColor rgb="FF000000"/>
      </patternFill>
    </fill>
  </fills>
  <borders count="2">
    <border>
      <left/>
      <right/>
      <top/>
      <bottom/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0"/>
    <xf xfId="0" fontId="4" numFmtId="0" fillId="0" borderId="0" applyFont="1" applyNumberFormat="0" applyFill="0" applyBorder="0" applyAlignment="0"/>
    <xf xfId="0" fontId="5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vertical="bottom" textRotation="0" wrapText="true" shrinkToFit="false"/>
    </xf>
    <xf xfId="0" fontId="6" numFmtId="0" fillId="0" borderId="0" applyFont="1" applyNumberFormat="0" applyFill="0" applyBorder="0" applyAlignment="0"/>
    <xf xfId="0" fontId="7" numFmtId="0" fillId="3" borderId="0" applyFont="1" applyNumberFormat="0" applyFill="1" applyBorder="0" applyAlignment="1">
      <alignment vertical="center" textRotation="0" wrapText="false" shrinkToFit="false"/>
    </xf>
    <xf xfId="0" fontId="5" numFmtId="0" fillId="2" borderId="1" applyFont="1" applyNumberFormat="0" applyFill="1" applyBorder="1" applyAlignment="1">
      <alignment vertical="top" textRotation="0" wrapText="true" shrinkToFit="false"/>
    </xf>
    <xf xfId="0" fontId="7" numFmtId="0" fillId="3" borderId="1" applyFont="1" applyNumberFormat="0" applyFill="1" applyBorder="1" applyAlignment="1">
      <alignment vertical="center" textRotation="0" wrapText="true" shrinkToFit="false"/>
    </xf>
    <xf xfId="0" fontId="8" numFmtId="0" fillId="0" borderId="1" applyFont="1" applyNumberFormat="0" applyFill="0" applyBorder="1" applyAlignment="1">
      <alignment vertical="top" textRotation="0" wrapText="true" shrinkToFit="false"/>
    </xf>
    <xf xfId="0" fontId="8" numFmtId="0" fillId="4" borderId="1" applyFont="1" applyNumberFormat="0" applyFill="1" applyBorder="1" applyAlignment="1">
      <alignment vertical="top" textRotation="0" wrapText="true" shrinkToFit="false"/>
    </xf>
    <xf xfId="0" fontId="9" numFmtId="0" fillId="4" borderId="1" applyFont="1" applyNumberFormat="0" applyFill="1" applyBorder="1" applyAlignment="1">
      <alignment vertical="top" textRotation="0" wrapText="true" shrinkToFit="false"/>
    </xf>
    <xf xfId="0" fontId="9" numFmtId="0" fillId="0" borderId="1" applyFont="1" applyNumberFormat="0" applyFill="0" applyBorder="1" applyAlignment="1">
      <alignment vertical="top" textRotation="0" wrapText="true" shrinkToFit="false"/>
    </xf>
    <xf xfId="0" fontId="8" numFmtId="0" fillId="4" borderId="1" applyFont="1" applyNumberFormat="0" applyFill="1" applyBorder="1" applyAlignment="1">
      <alignment horizontal="center" vertical="top" textRotation="0" wrapText="true" shrinkToFit="false"/>
    </xf>
    <xf xfId="0" fontId="8" numFmtId="0" fillId="0" borderId="1" applyFont="1" applyNumberFormat="0" applyFill="0" applyBorder="1" applyAlignment="1">
      <alignment horizontal="center" vertical="top" textRotation="0" wrapText="true" shrinkToFit="false"/>
    </xf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7" numFmtId="0" fillId="5" borderId="1" applyFont="1" applyNumberFormat="0" applyFill="1" applyBorder="1" applyAlignment="0"/>
    <xf xfId="0" fontId="7" numFmtId="164" fillId="5" borderId="1" applyFont="1" applyNumberFormat="1" applyFill="1" applyBorder="1" applyAlignment="0"/>
    <xf xfId="0" fontId="7" numFmtId="0" fillId="5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0"/>
    <xf xfId="0" fontId="5" numFmtId="0" fillId="6" borderId="1" applyFont="1" applyNumberFormat="0" applyFill="1" applyBorder="1" applyAlignment="0"/>
    <xf xfId="0" fontId="5" numFmtId="0" fillId="7" borderId="1" applyFont="1" applyNumberFormat="0" applyFill="1" applyBorder="1" applyAlignment="0"/>
    <xf xfId="0" fontId="5" numFmtId="0" fillId="8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false" showRowColHeaders="1">
      <selection activeCell="B18" sqref="B18:E18"/>
    </sheetView>
  </sheetViews>
  <sheetFormatPr defaultRowHeight="14.4" outlineLevelRow="0" outlineLevelCol="0"/>
  <cols>
    <col min="1" max="1" width="3" customWidth="true" style="0"/>
    <col min="2" max="2" width="24" customWidth="true" style="0"/>
    <col min="3" max="3" width="38" customWidth="true" style="0"/>
    <col min="4" max="4" width="19" customWidth="true" style="0"/>
    <col min="5" max="5" width="19" customWidth="true" style="0"/>
  </cols>
  <sheetData>
    <row r="2" spans="1:5">
      <c r="B2" s="1" t="s">
        <v>0</v>
      </c>
    </row>
    <row r="3" spans="1:5">
      <c r="B3" s="2" t="s">
        <v>1</v>
      </c>
    </row>
    <row r="5" spans="1:5">
      <c r="B5" s="3" t="s">
        <v>2</v>
      </c>
      <c r="C5" s="4" t="s">
        <v>3</v>
      </c>
      <c r="D5" s="5"/>
      <c r="E5" s="5"/>
    </row>
    <row r="6" spans="1:5">
      <c r="B6" s="3" t="s">
        <v>4</v>
      </c>
      <c r="C6" s="4" t="s">
        <v>5</v>
      </c>
      <c r="D6" s="5"/>
      <c r="E6" s="5"/>
    </row>
    <row r="7" spans="1:5">
      <c r="B7" s="3" t="s">
        <v>6</v>
      </c>
      <c r="C7" s="4">
        <v>1.0</v>
      </c>
      <c r="D7" s="5"/>
      <c r="E7" s="5"/>
    </row>
    <row r="8" spans="1:5">
      <c r="B8" s="3" t="s">
        <v>7</v>
      </c>
      <c r="C8" s="4" t="s">
        <v>8</v>
      </c>
      <c r="D8" s="5"/>
      <c r="E8" s="5"/>
    </row>
    <row r="9" spans="1:5">
      <c r="B9" s="3" t="s">
        <v>9</v>
      </c>
      <c r="C9" s="4" t="s">
        <v>10</v>
      </c>
      <c r="D9" s="5"/>
      <c r="E9" s="5"/>
    </row>
    <row r="10" spans="1:5">
      <c r="B10" s="3" t="s">
        <v>11</v>
      </c>
      <c r="C10" s="4" t="s">
        <v>12</v>
      </c>
      <c r="D10" s="5"/>
      <c r="E10" s="5"/>
    </row>
    <row r="11" spans="1:5">
      <c r="B11" s="3" t="s">
        <v>13</v>
      </c>
      <c r="C11" s="4" t="s">
        <v>14</v>
      </c>
      <c r="D11" s="5"/>
      <c r="E11" s="5"/>
    </row>
    <row r="12" spans="1:5">
      <c r="B12" s="3" t="s">
        <v>15</v>
      </c>
      <c r="C12" s="4" t="s">
        <v>16</v>
      </c>
      <c r="D12" s="5"/>
      <c r="E12" s="5"/>
    </row>
    <row r="14" spans="1:5">
      <c r="B14" s="6" t="s">
        <v>17</v>
      </c>
    </row>
    <row r="15" spans="1:5">
      <c r="B15" s="7" t="s">
        <v>18</v>
      </c>
      <c r="C15" s="8" t="s">
        <v>19</v>
      </c>
      <c r="D15" s="5"/>
      <c r="E15" s="5"/>
    </row>
    <row r="16" spans="1:5">
      <c r="B16" s="7" t="s">
        <v>20</v>
      </c>
      <c r="C16" s="8" t="s">
        <v>21</v>
      </c>
      <c r="D16" s="5"/>
      <c r="E16" s="5"/>
    </row>
    <row r="17" spans="1:5">
      <c r="B17" s="7" t="s">
        <v>22</v>
      </c>
      <c r="C17" s="8" t="s">
        <v>23</v>
      </c>
      <c r="D17" s="5"/>
      <c r="E17" s="5"/>
    </row>
    <row r="18" spans="1:5">
      <c r="B18" s="7" t="s">
        <v>24</v>
      </c>
      <c r="C18" s="8" t="s">
        <v>25</v>
      </c>
      <c r="D18" s="5"/>
      <c r="E18" s="5"/>
    </row>
  </sheetData>
  <mergeCells>
    <mergeCell ref="B2:E2"/>
    <mergeCell ref="B3:E3"/>
    <mergeCell ref="C5:E5"/>
    <mergeCell ref="C6:E6"/>
    <mergeCell ref="C7:E7"/>
    <mergeCell ref="C8:E8"/>
    <mergeCell ref="C9:E9"/>
    <mergeCell ref="C10:E10"/>
    <mergeCell ref="C11:E11"/>
    <mergeCell ref="C12:E12"/>
    <mergeCell ref="C15:E15"/>
    <mergeCell ref="C16:E16"/>
    <mergeCell ref="C17:E17"/>
    <mergeCell ref="C18:E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1"/>
  <sheetViews>
    <sheetView tabSelected="0" workbookViewId="0" showGridLines="false" showRowColHeaders="1">
      <selection activeCell="B31" sqref="B31:C31"/>
    </sheetView>
  </sheetViews>
  <sheetFormatPr defaultRowHeight="14.4" outlineLevelRow="0" outlineLevelCol="0"/>
  <cols>
    <col min="1" max="1" width="3" customWidth="true" style="0"/>
    <col min="2" max="2" width="34" customWidth="true" style="0"/>
    <col min="3" max="3" width="86" customWidth="true" style="0"/>
  </cols>
  <sheetData>
    <row r="2" spans="1:3">
      <c r="B2" s="9" t="s">
        <v>26</v>
      </c>
    </row>
    <row r="4" spans="1:3" customHeight="1" ht="20">
      <c r="B4" s="10" t="s">
        <v>27</v>
      </c>
    </row>
    <row r="5" spans="1:3" customHeight="1" ht="16">
      <c r="B5" s="11" t="s">
        <v>28</v>
      </c>
      <c r="C5" s="4" t="s">
        <v>29</v>
      </c>
    </row>
    <row r="6" spans="1:3" customHeight="1" ht="16">
      <c r="B6" s="11" t="s">
        <v>30</v>
      </c>
      <c r="C6" s="4" t="s">
        <v>31</v>
      </c>
    </row>
    <row r="7" spans="1:3" customHeight="1" ht="16">
      <c r="B7" s="11" t="s">
        <v>32</v>
      </c>
      <c r="C7" s="4" t="s">
        <v>33</v>
      </c>
    </row>
    <row r="8" spans="1:3" customHeight="1" ht="20">
      <c r="B8" s="10" t="s">
        <v>34</v>
      </c>
    </row>
    <row r="9" spans="1:3" customHeight="1" ht="16">
      <c r="B9" s="11" t="s">
        <v>35</v>
      </c>
      <c r="C9" s="4" t="s">
        <v>36</v>
      </c>
    </row>
    <row r="10" spans="1:3" customHeight="1" ht="20">
      <c r="B10" s="10" t="s">
        <v>37</v>
      </c>
    </row>
    <row r="11" spans="1:3" customHeight="1" ht="16">
      <c r="B11" s="11" t="s">
        <v>38</v>
      </c>
      <c r="C11" s="4" t="s">
        <v>39</v>
      </c>
    </row>
    <row r="12" spans="1:3" customHeight="1" ht="90">
      <c r="B12" s="11" t="s">
        <v>40</v>
      </c>
      <c r="C12" s="4" t="s">
        <v>41</v>
      </c>
    </row>
    <row r="13" spans="1:3" customHeight="1" ht="16">
      <c r="B13" s="11" t="s">
        <v>42</v>
      </c>
      <c r="C13" s="4" t="s">
        <v>43</v>
      </c>
    </row>
    <row r="14" spans="1:3" customHeight="1" ht="20">
      <c r="B14" s="10" t="s">
        <v>44</v>
      </c>
    </row>
    <row r="15" spans="1:3" customHeight="1" ht="16">
      <c r="B15" s="11" t="s">
        <v>45</v>
      </c>
      <c r="C15" s="4" t="s">
        <v>46</v>
      </c>
    </row>
    <row r="16" spans="1:3" customHeight="1" ht="16">
      <c r="B16" s="11" t="s">
        <v>47</v>
      </c>
      <c r="C16" s="4" t="s">
        <v>48</v>
      </c>
    </row>
    <row r="17" spans="1:3" customHeight="1" ht="16">
      <c r="B17" s="11" t="s">
        <v>49</v>
      </c>
      <c r="C17" s="4" t="s">
        <v>50</v>
      </c>
    </row>
    <row r="18" spans="1:3" customHeight="1" ht="20">
      <c r="B18" s="10" t="s">
        <v>51</v>
      </c>
    </row>
    <row r="19" spans="1:3" customHeight="1" ht="16">
      <c r="B19" s="11" t="s">
        <v>52</v>
      </c>
      <c r="C19" s="4" t="s">
        <v>53</v>
      </c>
    </row>
    <row r="20" spans="1:3" customHeight="1" ht="16">
      <c r="B20" s="11" t="s">
        <v>54</v>
      </c>
      <c r="C20" s="4" t="s">
        <v>55</v>
      </c>
    </row>
    <row r="21" spans="1:3" customHeight="1" ht="16">
      <c r="B21" s="11" t="s">
        <v>56</v>
      </c>
      <c r="C21" s="4" t="s">
        <v>57</v>
      </c>
    </row>
    <row r="22" spans="1:3" customHeight="1" ht="20">
      <c r="B22" s="10" t="s">
        <v>58</v>
      </c>
    </row>
    <row r="23" spans="1:3" customHeight="1" ht="16">
      <c r="B23" s="11" t="s">
        <v>59</v>
      </c>
      <c r="C23" s="4" t="s">
        <v>60</v>
      </c>
    </row>
    <row r="24" spans="1:3" customHeight="1" ht="16">
      <c r="B24" s="11" t="s">
        <v>61</v>
      </c>
      <c r="C24" s="4" t="s">
        <v>62</v>
      </c>
    </row>
    <row r="25" spans="1:3" customHeight="1" ht="16">
      <c r="B25" s="11" t="s">
        <v>63</v>
      </c>
      <c r="C25" s="4" t="s">
        <v>64</v>
      </c>
    </row>
    <row r="26" spans="1:3" customHeight="1" ht="20">
      <c r="B26" s="10" t="s">
        <v>65</v>
      </c>
    </row>
    <row r="27" spans="1:3" customHeight="1" ht="45">
      <c r="B27" s="11" t="s">
        <v>66</v>
      </c>
      <c r="C27" s="4" t="s">
        <v>67</v>
      </c>
    </row>
    <row r="28" spans="1:3" customHeight="1" ht="45">
      <c r="B28" s="11" t="s">
        <v>68</v>
      </c>
      <c r="C28" s="4" t="s">
        <v>69</v>
      </c>
    </row>
    <row r="29" spans="1:3" customHeight="1" ht="20">
      <c r="B29" s="10" t="s">
        <v>70</v>
      </c>
    </row>
    <row r="30" spans="1:3" customHeight="1" ht="16">
      <c r="B30" s="11" t="s">
        <v>71</v>
      </c>
      <c r="C30" s="4" t="s">
        <v>72</v>
      </c>
    </row>
    <row r="31" spans="1:3" customHeight="1" ht="16">
      <c r="B31" s="11" t="s">
        <v>73</v>
      </c>
      <c r="C31" s="4" t="s">
        <v>74</v>
      </c>
    </row>
  </sheetData>
  <mergeCells>
    <mergeCell ref="B2:C2"/>
    <mergeCell ref="B4:C4"/>
    <mergeCell ref="B8:C8"/>
    <mergeCell ref="B10:C10"/>
    <mergeCell ref="B14:C14"/>
    <mergeCell ref="B18:C18"/>
    <mergeCell ref="B22:C22"/>
    <mergeCell ref="B26:C26"/>
    <mergeCell ref="B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117"/>
  <sheetViews>
    <sheetView tabSelected="0" workbookViewId="0" showGridLines="false" showRowColHeaders="1">
      <pane xSplit="3" ySplit="1" topLeftCell="D2" activePane="bottomRight" state="frozen"/>
      <selection pane="topRight"/>
      <selection pane="bottomLeft"/>
      <selection pane="bottomRight" activeCell="I2" sqref="I2:L117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16" customWidth="true" style="0"/>
    <col min="4" max="4" width="30" customWidth="true" style="0"/>
    <col min="5" max="5" width="22" customWidth="true" style="0"/>
    <col min="6" max="6" width="40" customWidth="true" style="0"/>
    <col min="7" max="7" width="16" customWidth="true" style="0"/>
    <col min="8" max="8" width="42" customWidth="true" style="0"/>
    <col min="9" max="9" width="10" customWidth="true" style="0"/>
    <col min="10" max="10" width="9" customWidth="true" style="0"/>
    <col min="11" max="11" width="12" customWidth="true" style="0"/>
    <col min="12" max="12" width="10" customWidth="true" style="0"/>
    <col min="13" max="13" width="26" customWidth="true" style="0"/>
    <col min="14" max="14" width="22" customWidth="true" style="0"/>
  </cols>
  <sheetData>
    <row r="1" spans="1:14" customHeight="1" ht="26">
      <c r="A1" s="12" t="s">
        <v>75</v>
      </c>
      <c r="B1" s="12" t="s">
        <v>76</v>
      </c>
      <c r="C1" s="12" t="s">
        <v>77</v>
      </c>
      <c r="D1" s="12" t="s">
        <v>78</v>
      </c>
      <c r="E1" s="12" t="s">
        <v>79</v>
      </c>
      <c r="F1" s="12" t="s">
        <v>80</v>
      </c>
      <c r="G1" s="12" t="s">
        <v>81</v>
      </c>
      <c r="H1" s="12" t="s">
        <v>82</v>
      </c>
      <c r="I1" s="12" t="s">
        <v>83</v>
      </c>
      <c r="J1" s="12" t="s">
        <v>84</v>
      </c>
      <c r="K1" s="12" t="s">
        <v>85</v>
      </c>
      <c r="L1" s="12" t="s">
        <v>86</v>
      </c>
      <c r="M1" s="12" t="s">
        <v>87</v>
      </c>
      <c r="N1" s="12" t="s">
        <v>88</v>
      </c>
    </row>
    <row r="2" spans="1:14">
      <c r="A2" s="15" t="s">
        <v>89</v>
      </c>
      <c r="B2" s="14" t="s">
        <v>90</v>
      </c>
      <c r="C2" s="14" t="s">
        <v>91</v>
      </c>
      <c r="D2" s="14" t="s">
        <v>92</v>
      </c>
      <c r="E2" s="14" t="s">
        <v>93</v>
      </c>
      <c r="F2" s="14" t="s">
        <v>94</v>
      </c>
      <c r="G2" s="14" t="s">
        <v>95</v>
      </c>
      <c r="H2" s="14" t="s">
        <v>96</v>
      </c>
      <c r="I2" s="17" t="s">
        <v>97</v>
      </c>
      <c r="J2" s="17" t="s">
        <v>98</v>
      </c>
      <c r="K2" s="17" t="s">
        <v>99</v>
      </c>
      <c r="L2" s="17" t="s">
        <v>100</v>
      </c>
      <c r="M2" s="14"/>
      <c r="N2" s="14"/>
    </row>
    <row r="3" spans="1:14">
      <c r="A3" s="16" t="s">
        <v>101</v>
      </c>
      <c r="B3" s="13" t="s">
        <v>90</v>
      </c>
      <c r="C3" s="13" t="s">
        <v>91</v>
      </c>
      <c r="D3" s="13" t="s">
        <v>102</v>
      </c>
      <c r="E3" s="13" t="s">
        <v>103</v>
      </c>
      <c r="F3" s="13" t="s">
        <v>104</v>
      </c>
      <c r="G3" s="13" t="s">
        <v>105</v>
      </c>
      <c r="H3" s="13" t="s">
        <v>106</v>
      </c>
      <c r="I3" s="18" t="s">
        <v>97</v>
      </c>
      <c r="J3" s="18" t="s">
        <v>107</v>
      </c>
      <c r="K3" s="18" t="s">
        <v>99</v>
      </c>
      <c r="L3" s="18" t="s">
        <v>100</v>
      </c>
      <c r="M3" s="13"/>
      <c r="N3" s="13"/>
    </row>
    <row r="4" spans="1:14">
      <c r="A4" s="15" t="s">
        <v>108</v>
      </c>
      <c r="B4" s="14" t="s">
        <v>90</v>
      </c>
      <c r="C4" s="14" t="s">
        <v>91</v>
      </c>
      <c r="D4" s="14" t="s">
        <v>109</v>
      </c>
      <c r="E4" s="14" t="s">
        <v>110</v>
      </c>
      <c r="F4" s="14" t="s">
        <v>111</v>
      </c>
      <c r="G4" s="14" t="s">
        <v>112</v>
      </c>
      <c r="H4" s="14" t="s">
        <v>113</v>
      </c>
      <c r="I4" s="17" t="s">
        <v>114</v>
      </c>
      <c r="J4" s="17" t="s">
        <v>107</v>
      </c>
      <c r="K4" s="17" t="s">
        <v>99</v>
      </c>
      <c r="L4" s="17" t="s">
        <v>100</v>
      </c>
      <c r="M4" s="14"/>
      <c r="N4" s="14"/>
    </row>
    <row r="5" spans="1:14">
      <c r="A5" s="16" t="s">
        <v>115</v>
      </c>
      <c r="B5" s="13" t="s">
        <v>90</v>
      </c>
      <c r="C5" s="13" t="s">
        <v>116</v>
      </c>
      <c r="D5" s="13" t="s">
        <v>117</v>
      </c>
      <c r="E5" s="13" t="s">
        <v>118</v>
      </c>
      <c r="F5" s="13" t="s">
        <v>119</v>
      </c>
      <c r="G5" s="13" t="s">
        <v>110</v>
      </c>
      <c r="H5" s="13" t="s">
        <v>120</v>
      </c>
      <c r="I5" s="18" t="s">
        <v>97</v>
      </c>
      <c r="J5" s="18" t="s">
        <v>121</v>
      </c>
      <c r="K5" s="18" t="s">
        <v>122</v>
      </c>
      <c r="L5" s="18" t="s">
        <v>100</v>
      </c>
      <c r="M5" s="13"/>
      <c r="N5" s="13"/>
    </row>
    <row r="6" spans="1:14">
      <c r="A6" s="15" t="s">
        <v>123</v>
      </c>
      <c r="B6" s="14" t="s">
        <v>90</v>
      </c>
      <c r="C6" s="14" t="s">
        <v>124</v>
      </c>
      <c r="D6" s="14" t="s">
        <v>125</v>
      </c>
      <c r="E6" s="14" t="s">
        <v>126</v>
      </c>
      <c r="F6" s="14" t="s">
        <v>127</v>
      </c>
      <c r="G6" s="14" t="s">
        <v>110</v>
      </c>
      <c r="H6" s="14" t="s">
        <v>128</v>
      </c>
      <c r="I6" s="17" t="s">
        <v>114</v>
      </c>
      <c r="J6" s="17" t="s">
        <v>98</v>
      </c>
      <c r="K6" s="17" t="s">
        <v>99</v>
      </c>
      <c r="L6" s="17" t="s">
        <v>100</v>
      </c>
      <c r="M6" s="14"/>
      <c r="N6" s="14"/>
    </row>
    <row r="7" spans="1:14">
      <c r="A7" s="16" t="s">
        <v>129</v>
      </c>
      <c r="B7" s="13" t="s">
        <v>130</v>
      </c>
      <c r="C7" s="13" t="s">
        <v>131</v>
      </c>
      <c r="D7" s="13" t="s">
        <v>132</v>
      </c>
      <c r="E7" s="13" t="s">
        <v>133</v>
      </c>
      <c r="F7" s="13" t="s">
        <v>134</v>
      </c>
      <c r="G7" s="13" t="s">
        <v>110</v>
      </c>
      <c r="H7" s="13" t="s">
        <v>135</v>
      </c>
      <c r="I7" s="18" t="s">
        <v>114</v>
      </c>
      <c r="J7" s="18" t="s">
        <v>98</v>
      </c>
      <c r="K7" s="18" t="s">
        <v>136</v>
      </c>
      <c r="L7" s="18" t="s">
        <v>100</v>
      </c>
      <c r="M7" s="13"/>
      <c r="N7" s="13"/>
    </row>
    <row r="8" spans="1:14">
      <c r="A8" s="15" t="s">
        <v>137</v>
      </c>
      <c r="B8" s="14" t="s">
        <v>130</v>
      </c>
      <c r="C8" s="14" t="s">
        <v>138</v>
      </c>
      <c r="D8" s="14" t="s">
        <v>139</v>
      </c>
      <c r="E8" s="14" t="s">
        <v>140</v>
      </c>
      <c r="F8" s="14" t="s">
        <v>134</v>
      </c>
      <c r="G8" s="14" t="s">
        <v>110</v>
      </c>
      <c r="H8" s="14" t="s">
        <v>141</v>
      </c>
      <c r="I8" s="17" t="s">
        <v>114</v>
      </c>
      <c r="J8" s="17" t="s">
        <v>98</v>
      </c>
      <c r="K8" s="17" t="s">
        <v>142</v>
      </c>
      <c r="L8" s="17" t="s">
        <v>100</v>
      </c>
      <c r="M8" s="14"/>
      <c r="N8" s="14"/>
    </row>
    <row r="9" spans="1:14">
      <c r="A9" s="16" t="s">
        <v>143</v>
      </c>
      <c r="B9" s="13" t="s">
        <v>130</v>
      </c>
      <c r="C9" s="13" t="s">
        <v>144</v>
      </c>
      <c r="D9" s="13" t="s">
        <v>145</v>
      </c>
      <c r="E9" s="13" t="s">
        <v>146</v>
      </c>
      <c r="F9" s="13" t="s">
        <v>147</v>
      </c>
      <c r="G9" s="13" t="s">
        <v>110</v>
      </c>
      <c r="H9" s="13" t="s">
        <v>148</v>
      </c>
      <c r="I9" s="18" t="s">
        <v>114</v>
      </c>
      <c r="J9" s="18" t="s">
        <v>121</v>
      </c>
      <c r="K9" s="18" t="s">
        <v>149</v>
      </c>
      <c r="L9" s="18" t="s">
        <v>100</v>
      </c>
      <c r="M9" s="13"/>
      <c r="N9" s="13"/>
    </row>
    <row r="10" spans="1:14">
      <c r="A10" s="15" t="s">
        <v>150</v>
      </c>
      <c r="B10" s="14" t="s">
        <v>151</v>
      </c>
      <c r="C10" s="14" t="s">
        <v>152</v>
      </c>
      <c r="D10" s="14" t="s">
        <v>153</v>
      </c>
      <c r="E10" s="14" t="s">
        <v>126</v>
      </c>
      <c r="F10" s="14" t="s">
        <v>154</v>
      </c>
      <c r="G10" s="14" t="s">
        <v>155</v>
      </c>
      <c r="H10" s="14" t="s">
        <v>156</v>
      </c>
      <c r="I10" s="17" t="s">
        <v>114</v>
      </c>
      <c r="J10" s="17" t="s">
        <v>98</v>
      </c>
      <c r="K10" s="17" t="s">
        <v>99</v>
      </c>
      <c r="L10" s="17" t="s">
        <v>100</v>
      </c>
      <c r="M10" s="14"/>
      <c r="N10" s="14"/>
    </row>
    <row r="11" spans="1:14">
      <c r="A11" s="16" t="s">
        <v>157</v>
      </c>
      <c r="B11" s="13" t="s">
        <v>151</v>
      </c>
      <c r="C11" s="13" t="s">
        <v>158</v>
      </c>
      <c r="D11" s="13" t="s">
        <v>159</v>
      </c>
      <c r="E11" s="13" t="s">
        <v>126</v>
      </c>
      <c r="F11" s="13" t="s">
        <v>160</v>
      </c>
      <c r="G11" s="13" t="s">
        <v>161</v>
      </c>
      <c r="H11" s="13" t="s">
        <v>162</v>
      </c>
      <c r="I11" s="18" t="s">
        <v>97</v>
      </c>
      <c r="J11" s="18" t="s">
        <v>98</v>
      </c>
      <c r="K11" s="18" t="s">
        <v>99</v>
      </c>
      <c r="L11" s="18" t="s">
        <v>100</v>
      </c>
      <c r="M11" s="13"/>
      <c r="N11" s="13"/>
    </row>
    <row r="12" spans="1:14">
      <c r="A12" s="15" t="s">
        <v>163</v>
      </c>
      <c r="B12" s="14" t="s">
        <v>151</v>
      </c>
      <c r="C12" s="14" t="s">
        <v>158</v>
      </c>
      <c r="D12" s="14" t="s">
        <v>164</v>
      </c>
      <c r="E12" s="14" t="s">
        <v>126</v>
      </c>
      <c r="F12" s="14" t="s">
        <v>165</v>
      </c>
      <c r="G12" s="14" t="s">
        <v>166</v>
      </c>
      <c r="H12" s="14" t="s">
        <v>167</v>
      </c>
      <c r="I12" s="17" t="s">
        <v>114</v>
      </c>
      <c r="J12" s="17" t="s">
        <v>107</v>
      </c>
      <c r="K12" s="17" t="s">
        <v>99</v>
      </c>
      <c r="L12" s="17" t="s">
        <v>100</v>
      </c>
      <c r="M12" s="14"/>
      <c r="N12" s="14"/>
    </row>
    <row r="13" spans="1:14">
      <c r="A13" s="16" t="s">
        <v>168</v>
      </c>
      <c r="B13" s="13" t="s">
        <v>151</v>
      </c>
      <c r="C13" s="13" t="s">
        <v>158</v>
      </c>
      <c r="D13" s="13" t="s">
        <v>169</v>
      </c>
      <c r="E13" s="13" t="s">
        <v>126</v>
      </c>
      <c r="F13" s="13" t="s">
        <v>170</v>
      </c>
      <c r="G13" s="13" t="s">
        <v>171</v>
      </c>
      <c r="H13" s="13" t="s">
        <v>172</v>
      </c>
      <c r="I13" s="18" t="s">
        <v>114</v>
      </c>
      <c r="J13" s="18" t="s">
        <v>107</v>
      </c>
      <c r="K13" s="18" t="s">
        <v>99</v>
      </c>
      <c r="L13" s="18" t="s">
        <v>100</v>
      </c>
      <c r="M13" s="13"/>
      <c r="N13" s="13"/>
    </row>
    <row r="14" spans="1:14">
      <c r="A14" s="15" t="s">
        <v>173</v>
      </c>
      <c r="B14" s="14" t="s">
        <v>174</v>
      </c>
      <c r="C14" s="14" t="s">
        <v>175</v>
      </c>
      <c r="D14" s="14" t="s">
        <v>176</v>
      </c>
      <c r="E14" s="14" t="s">
        <v>177</v>
      </c>
      <c r="F14" s="14" t="s">
        <v>178</v>
      </c>
      <c r="G14" s="14" t="s">
        <v>110</v>
      </c>
      <c r="H14" s="14" t="s">
        <v>179</v>
      </c>
      <c r="I14" s="17" t="s">
        <v>114</v>
      </c>
      <c r="J14" s="17" t="s">
        <v>98</v>
      </c>
      <c r="K14" s="17" t="s">
        <v>136</v>
      </c>
      <c r="L14" s="17" t="s">
        <v>100</v>
      </c>
      <c r="M14" s="14"/>
      <c r="N14" s="14"/>
    </row>
    <row r="15" spans="1:14">
      <c r="A15" s="16" t="s">
        <v>180</v>
      </c>
      <c r="B15" s="13" t="s">
        <v>174</v>
      </c>
      <c r="C15" s="13" t="s">
        <v>175</v>
      </c>
      <c r="D15" s="13" t="s">
        <v>181</v>
      </c>
      <c r="E15" s="13" t="s">
        <v>182</v>
      </c>
      <c r="F15" s="13" t="s">
        <v>183</v>
      </c>
      <c r="G15" s="13" t="s">
        <v>110</v>
      </c>
      <c r="H15" s="13" t="s">
        <v>184</v>
      </c>
      <c r="I15" s="18" t="s">
        <v>114</v>
      </c>
      <c r="J15" s="18" t="s">
        <v>98</v>
      </c>
      <c r="K15" s="18" t="s">
        <v>136</v>
      </c>
      <c r="L15" s="18" t="s">
        <v>100</v>
      </c>
      <c r="M15" s="13"/>
      <c r="N15" s="13"/>
    </row>
    <row r="16" spans="1:14">
      <c r="A16" s="15" t="s">
        <v>185</v>
      </c>
      <c r="B16" s="14" t="s">
        <v>174</v>
      </c>
      <c r="C16" s="14" t="s">
        <v>144</v>
      </c>
      <c r="D16" s="14" t="s">
        <v>186</v>
      </c>
      <c r="E16" s="14" t="s">
        <v>187</v>
      </c>
      <c r="F16" s="14" t="s">
        <v>188</v>
      </c>
      <c r="G16" s="14" t="s">
        <v>110</v>
      </c>
      <c r="H16" s="14" t="s">
        <v>148</v>
      </c>
      <c r="I16" s="17" t="s">
        <v>114</v>
      </c>
      <c r="J16" s="17" t="s">
        <v>121</v>
      </c>
      <c r="K16" s="17" t="s">
        <v>142</v>
      </c>
      <c r="L16" s="17" t="s">
        <v>100</v>
      </c>
      <c r="M16" s="14"/>
      <c r="N16" s="14"/>
    </row>
    <row r="17" spans="1:14">
      <c r="A17" s="16" t="s">
        <v>189</v>
      </c>
      <c r="B17" s="13" t="s">
        <v>142</v>
      </c>
      <c r="C17" s="13" t="s">
        <v>190</v>
      </c>
      <c r="D17" s="13" t="s">
        <v>191</v>
      </c>
      <c r="E17" s="13" t="s">
        <v>192</v>
      </c>
      <c r="F17" s="13" t="s">
        <v>193</v>
      </c>
      <c r="G17" s="13" t="s">
        <v>110</v>
      </c>
      <c r="H17" s="13" t="s">
        <v>194</v>
      </c>
      <c r="I17" s="18" t="s">
        <v>97</v>
      </c>
      <c r="J17" s="18" t="s">
        <v>98</v>
      </c>
      <c r="K17" s="18" t="s">
        <v>136</v>
      </c>
      <c r="L17" s="18" t="s">
        <v>100</v>
      </c>
      <c r="M17" s="13"/>
      <c r="N17" s="13"/>
    </row>
    <row r="18" spans="1:14">
      <c r="A18" s="15" t="s">
        <v>195</v>
      </c>
      <c r="B18" s="14" t="s">
        <v>142</v>
      </c>
      <c r="C18" s="14" t="s">
        <v>196</v>
      </c>
      <c r="D18" s="14" t="s">
        <v>197</v>
      </c>
      <c r="E18" s="14" t="s">
        <v>198</v>
      </c>
      <c r="F18" s="14" t="s">
        <v>199</v>
      </c>
      <c r="G18" s="14" t="s">
        <v>200</v>
      </c>
      <c r="H18" s="14" t="s">
        <v>201</v>
      </c>
      <c r="I18" s="17" t="s">
        <v>114</v>
      </c>
      <c r="J18" s="17" t="s">
        <v>98</v>
      </c>
      <c r="K18" s="17" t="s">
        <v>136</v>
      </c>
      <c r="L18" s="17" t="s">
        <v>100</v>
      </c>
      <c r="M18" s="14"/>
      <c r="N18" s="14"/>
    </row>
    <row r="19" spans="1:14">
      <c r="A19" s="16" t="s">
        <v>202</v>
      </c>
      <c r="B19" s="13" t="s">
        <v>142</v>
      </c>
      <c r="C19" s="13" t="s">
        <v>203</v>
      </c>
      <c r="D19" s="13" t="s">
        <v>204</v>
      </c>
      <c r="E19" s="13" t="s">
        <v>198</v>
      </c>
      <c r="F19" s="13" t="s">
        <v>205</v>
      </c>
      <c r="G19" s="13" t="s">
        <v>206</v>
      </c>
      <c r="H19" s="13" t="s">
        <v>207</v>
      </c>
      <c r="I19" s="18" t="s">
        <v>114</v>
      </c>
      <c r="J19" s="18" t="s">
        <v>98</v>
      </c>
      <c r="K19" s="18" t="s">
        <v>136</v>
      </c>
      <c r="L19" s="18" t="s">
        <v>100</v>
      </c>
      <c r="M19" s="13"/>
      <c r="N19" s="13"/>
    </row>
    <row r="20" spans="1:14">
      <c r="A20" s="15" t="s">
        <v>208</v>
      </c>
      <c r="B20" s="14" t="s">
        <v>142</v>
      </c>
      <c r="C20" s="14" t="s">
        <v>209</v>
      </c>
      <c r="D20" s="14" t="s">
        <v>210</v>
      </c>
      <c r="E20" s="14" t="s">
        <v>211</v>
      </c>
      <c r="F20" s="14" t="s">
        <v>212</v>
      </c>
      <c r="G20" s="14" t="s">
        <v>213</v>
      </c>
      <c r="H20" s="14" t="s">
        <v>214</v>
      </c>
      <c r="I20" s="17" t="s">
        <v>97</v>
      </c>
      <c r="J20" s="17" t="s">
        <v>98</v>
      </c>
      <c r="K20" s="17" t="s">
        <v>136</v>
      </c>
      <c r="L20" s="17" t="s">
        <v>100</v>
      </c>
      <c r="M20" s="14"/>
      <c r="N20" s="14"/>
    </row>
    <row r="21" spans="1:14">
      <c r="A21" s="16" t="s">
        <v>215</v>
      </c>
      <c r="B21" s="13" t="s">
        <v>142</v>
      </c>
      <c r="C21" s="13" t="s">
        <v>216</v>
      </c>
      <c r="D21" s="13" t="s">
        <v>217</v>
      </c>
      <c r="E21" s="13" t="s">
        <v>110</v>
      </c>
      <c r="F21" s="13" t="s">
        <v>218</v>
      </c>
      <c r="G21" s="13" t="s">
        <v>219</v>
      </c>
      <c r="H21" s="13" t="s">
        <v>220</v>
      </c>
      <c r="I21" s="18" t="s">
        <v>97</v>
      </c>
      <c r="J21" s="18" t="s">
        <v>107</v>
      </c>
      <c r="K21" s="18" t="s">
        <v>136</v>
      </c>
      <c r="L21" s="18" t="s">
        <v>100</v>
      </c>
      <c r="M21" s="13"/>
      <c r="N21" s="13"/>
    </row>
    <row r="22" spans="1:14">
      <c r="A22" s="15" t="s">
        <v>221</v>
      </c>
      <c r="B22" s="14" t="s">
        <v>142</v>
      </c>
      <c r="C22" s="14" t="s">
        <v>222</v>
      </c>
      <c r="D22" s="14" t="s">
        <v>223</v>
      </c>
      <c r="E22" s="14" t="s">
        <v>110</v>
      </c>
      <c r="F22" s="14" t="s">
        <v>224</v>
      </c>
      <c r="G22" s="14" t="s">
        <v>225</v>
      </c>
      <c r="H22" s="14" t="s">
        <v>226</v>
      </c>
      <c r="I22" s="17" t="s">
        <v>97</v>
      </c>
      <c r="J22" s="17" t="s">
        <v>98</v>
      </c>
      <c r="K22" s="17" t="s">
        <v>136</v>
      </c>
      <c r="L22" s="17" t="s">
        <v>100</v>
      </c>
      <c r="M22" s="14"/>
      <c r="N22" s="14"/>
    </row>
    <row r="23" spans="1:14">
      <c r="A23" s="16" t="s">
        <v>227</v>
      </c>
      <c r="B23" s="13" t="s">
        <v>142</v>
      </c>
      <c r="C23" s="13" t="s">
        <v>228</v>
      </c>
      <c r="D23" s="13" t="s">
        <v>229</v>
      </c>
      <c r="E23" s="13" t="s">
        <v>230</v>
      </c>
      <c r="F23" s="13" t="s">
        <v>231</v>
      </c>
      <c r="G23" s="13" t="s">
        <v>232</v>
      </c>
      <c r="H23" s="13" t="s">
        <v>233</v>
      </c>
      <c r="I23" s="18" t="s">
        <v>97</v>
      </c>
      <c r="J23" s="18" t="s">
        <v>107</v>
      </c>
      <c r="K23" s="18" t="s">
        <v>136</v>
      </c>
      <c r="L23" s="18" t="s">
        <v>100</v>
      </c>
      <c r="M23" s="13"/>
      <c r="N23" s="13"/>
    </row>
    <row r="24" spans="1:14">
      <c r="A24" s="15" t="s">
        <v>234</v>
      </c>
      <c r="B24" s="14" t="s">
        <v>142</v>
      </c>
      <c r="C24" s="14" t="s">
        <v>235</v>
      </c>
      <c r="D24" s="14" t="s">
        <v>236</v>
      </c>
      <c r="E24" s="14" t="s">
        <v>237</v>
      </c>
      <c r="F24" s="14" t="s">
        <v>238</v>
      </c>
      <c r="G24" s="14" t="s">
        <v>155</v>
      </c>
      <c r="H24" s="14" t="s">
        <v>239</v>
      </c>
      <c r="I24" s="17" t="s">
        <v>97</v>
      </c>
      <c r="J24" s="17" t="s">
        <v>98</v>
      </c>
      <c r="K24" s="17" t="s">
        <v>136</v>
      </c>
      <c r="L24" s="17" t="s">
        <v>100</v>
      </c>
      <c r="M24" s="14"/>
      <c r="N24" s="14"/>
    </row>
    <row r="25" spans="1:14">
      <c r="A25" s="16" t="s">
        <v>240</v>
      </c>
      <c r="B25" s="13" t="s">
        <v>142</v>
      </c>
      <c r="C25" s="13" t="s">
        <v>241</v>
      </c>
      <c r="D25" s="13" t="s">
        <v>242</v>
      </c>
      <c r="E25" s="13" t="s">
        <v>237</v>
      </c>
      <c r="F25" s="13" t="s">
        <v>243</v>
      </c>
      <c r="G25" s="13" t="s">
        <v>110</v>
      </c>
      <c r="H25" s="13" t="s">
        <v>244</v>
      </c>
      <c r="I25" s="18" t="s">
        <v>114</v>
      </c>
      <c r="J25" s="18" t="s">
        <v>98</v>
      </c>
      <c r="K25" s="18" t="s">
        <v>136</v>
      </c>
      <c r="L25" s="18" t="s">
        <v>100</v>
      </c>
      <c r="M25" s="13"/>
      <c r="N25" s="13"/>
    </row>
    <row r="26" spans="1:14">
      <c r="A26" s="15" t="s">
        <v>245</v>
      </c>
      <c r="B26" s="14" t="s">
        <v>142</v>
      </c>
      <c r="C26" s="14" t="s">
        <v>246</v>
      </c>
      <c r="D26" s="14" t="s">
        <v>247</v>
      </c>
      <c r="E26" s="14" t="s">
        <v>248</v>
      </c>
      <c r="F26" s="14" t="s">
        <v>249</v>
      </c>
      <c r="G26" s="14" t="s">
        <v>250</v>
      </c>
      <c r="H26" s="14" t="s">
        <v>251</v>
      </c>
      <c r="I26" s="17" t="s">
        <v>97</v>
      </c>
      <c r="J26" s="17" t="s">
        <v>98</v>
      </c>
      <c r="K26" s="17" t="s">
        <v>136</v>
      </c>
      <c r="L26" s="17" t="s">
        <v>100</v>
      </c>
      <c r="M26" s="14"/>
      <c r="N26" s="14"/>
    </row>
    <row r="27" spans="1:14">
      <c r="A27" s="16" t="s">
        <v>252</v>
      </c>
      <c r="B27" s="13" t="s">
        <v>142</v>
      </c>
      <c r="C27" s="13" t="s">
        <v>253</v>
      </c>
      <c r="D27" s="13" t="s">
        <v>254</v>
      </c>
      <c r="E27" s="13" t="s">
        <v>237</v>
      </c>
      <c r="F27" s="13" t="s">
        <v>255</v>
      </c>
      <c r="G27" s="13" t="s">
        <v>256</v>
      </c>
      <c r="H27" s="13" t="s">
        <v>257</v>
      </c>
      <c r="I27" s="18" t="s">
        <v>114</v>
      </c>
      <c r="J27" s="18" t="s">
        <v>98</v>
      </c>
      <c r="K27" s="18" t="s">
        <v>136</v>
      </c>
      <c r="L27" s="18" t="s">
        <v>100</v>
      </c>
      <c r="M27" s="13"/>
      <c r="N27" s="13"/>
    </row>
    <row r="28" spans="1:14">
      <c r="A28" s="15" t="s">
        <v>258</v>
      </c>
      <c r="B28" s="14" t="s">
        <v>142</v>
      </c>
      <c r="C28" s="14" t="s">
        <v>259</v>
      </c>
      <c r="D28" s="14" t="s">
        <v>260</v>
      </c>
      <c r="E28" s="14" t="s">
        <v>261</v>
      </c>
      <c r="F28" s="14" t="s">
        <v>262</v>
      </c>
      <c r="G28" s="14" t="s">
        <v>110</v>
      </c>
      <c r="H28" s="14" t="s">
        <v>263</v>
      </c>
      <c r="I28" s="17" t="s">
        <v>114</v>
      </c>
      <c r="J28" s="17" t="s">
        <v>98</v>
      </c>
      <c r="K28" s="17" t="s">
        <v>136</v>
      </c>
      <c r="L28" s="17" t="s">
        <v>100</v>
      </c>
      <c r="M28" s="14"/>
      <c r="N28" s="14"/>
    </row>
    <row r="29" spans="1:14">
      <c r="A29" s="16" t="s">
        <v>264</v>
      </c>
      <c r="B29" s="13" t="s">
        <v>142</v>
      </c>
      <c r="C29" s="13" t="s">
        <v>265</v>
      </c>
      <c r="D29" s="13" t="s">
        <v>266</v>
      </c>
      <c r="E29" s="13" t="s">
        <v>267</v>
      </c>
      <c r="F29" s="13" t="s">
        <v>268</v>
      </c>
      <c r="G29" s="13" t="s">
        <v>269</v>
      </c>
      <c r="H29" s="13" t="s">
        <v>270</v>
      </c>
      <c r="I29" s="18" t="s">
        <v>114</v>
      </c>
      <c r="J29" s="18" t="s">
        <v>98</v>
      </c>
      <c r="K29" s="18" t="s">
        <v>136</v>
      </c>
      <c r="L29" s="18" t="s">
        <v>100</v>
      </c>
      <c r="M29" s="13"/>
      <c r="N29" s="13"/>
    </row>
    <row r="30" spans="1:14">
      <c r="A30" s="15" t="s">
        <v>271</v>
      </c>
      <c r="B30" s="14" t="s">
        <v>142</v>
      </c>
      <c r="C30" s="14" t="s">
        <v>144</v>
      </c>
      <c r="D30" s="14" t="s">
        <v>272</v>
      </c>
      <c r="E30" s="14" t="s">
        <v>273</v>
      </c>
      <c r="F30" s="14" t="s">
        <v>274</v>
      </c>
      <c r="G30" s="14" t="s">
        <v>110</v>
      </c>
      <c r="H30" s="14" t="s">
        <v>148</v>
      </c>
      <c r="I30" s="17" t="s">
        <v>97</v>
      </c>
      <c r="J30" s="17" t="s">
        <v>121</v>
      </c>
      <c r="K30" s="17" t="s">
        <v>142</v>
      </c>
      <c r="L30" s="17" t="s">
        <v>100</v>
      </c>
      <c r="M30" s="14"/>
      <c r="N30" s="14"/>
    </row>
    <row r="31" spans="1:14">
      <c r="A31" s="16" t="s">
        <v>275</v>
      </c>
      <c r="B31" s="13" t="s">
        <v>276</v>
      </c>
      <c r="C31" s="13" t="s">
        <v>277</v>
      </c>
      <c r="D31" s="13" t="s">
        <v>278</v>
      </c>
      <c r="E31" s="13" t="s">
        <v>211</v>
      </c>
      <c r="F31" s="13" t="s">
        <v>279</v>
      </c>
      <c r="G31" s="13" t="s">
        <v>110</v>
      </c>
      <c r="H31" s="13" t="s">
        <v>280</v>
      </c>
      <c r="I31" s="18" t="s">
        <v>97</v>
      </c>
      <c r="J31" s="18" t="s">
        <v>98</v>
      </c>
      <c r="K31" s="18" t="s">
        <v>136</v>
      </c>
      <c r="L31" s="18" t="s">
        <v>100</v>
      </c>
      <c r="M31" s="13"/>
      <c r="N31" s="13"/>
    </row>
    <row r="32" spans="1:14">
      <c r="A32" s="15" t="s">
        <v>281</v>
      </c>
      <c r="B32" s="14" t="s">
        <v>276</v>
      </c>
      <c r="C32" s="14" t="s">
        <v>282</v>
      </c>
      <c r="D32" s="14" t="s">
        <v>283</v>
      </c>
      <c r="E32" s="14" t="s">
        <v>284</v>
      </c>
      <c r="F32" s="14" t="s">
        <v>285</v>
      </c>
      <c r="G32" s="14" t="s">
        <v>286</v>
      </c>
      <c r="H32" s="14" t="s">
        <v>287</v>
      </c>
      <c r="I32" s="17" t="s">
        <v>97</v>
      </c>
      <c r="J32" s="17" t="s">
        <v>98</v>
      </c>
      <c r="K32" s="17" t="s">
        <v>136</v>
      </c>
      <c r="L32" s="17" t="s">
        <v>100</v>
      </c>
      <c r="M32" s="14"/>
      <c r="N32" s="14"/>
    </row>
    <row r="33" spans="1:14">
      <c r="A33" s="16" t="s">
        <v>288</v>
      </c>
      <c r="B33" s="13" t="s">
        <v>276</v>
      </c>
      <c r="C33" s="13" t="s">
        <v>216</v>
      </c>
      <c r="D33" s="13" t="s">
        <v>289</v>
      </c>
      <c r="E33" s="13" t="s">
        <v>110</v>
      </c>
      <c r="F33" s="13" t="s">
        <v>290</v>
      </c>
      <c r="G33" s="13" t="s">
        <v>291</v>
      </c>
      <c r="H33" s="13" t="s">
        <v>292</v>
      </c>
      <c r="I33" s="18" t="s">
        <v>114</v>
      </c>
      <c r="J33" s="18" t="s">
        <v>107</v>
      </c>
      <c r="K33" s="18" t="s">
        <v>136</v>
      </c>
      <c r="L33" s="18" t="s">
        <v>100</v>
      </c>
      <c r="M33" s="13"/>
      <c r="N33" s="13"/>
    </row>
    <row r="34" spans="1:14">
      <c r="A34" s="15" t="s">
        <v>293</v>
      </c>
      <c r="B34" s="14" t="s">
        <v>276</v>
      </c>
      <c r="C34" s="14" t="s">
        <v>216</v>
      </c>
      <c r="D34" s="14" t="s">
        <v>294</v>
      </c>
      <c r="E34" s="14" t="s">
        <v>110</v>
      </c>
      <c r="F34" s="14" t="s">
        <v>295</v>
      </c>
      <c r="G34" s="14" t="s">
        <v>296</v>
      </c>
      <c r="H34" s="14" t="s">
        <v>297</v>
      </c>
      <c r="I34" s="17" t="s">
        <v>114</v>
      </c>
      <c r="J34" s="17" t="s">
        <v>107</v>
      </c>
      <c r="K34" s="17" t="s">
        <v>136</v>
      </c>
      <c r="L34" s="17" t="s">
        <v>100</v>
      </c>
      <c r="M34" s="14"/>
      <c r="N34" s="14"/>
    </row>
    <row r="35" spans="1:14">
      <c r="A35" s="16" t="s">
        <v>298</v>
      </c>
      <c r="B35" s="13" t="s">
        <v>276</v>
      </c>
      <c r="C35" s="13" t="s">
        <v>216</v>
      </c>
      <c r="D35" s="13" t="s">
        <v>299</v>
      </c>
      <c r="E35" s="13" t="s">
        <v>110</v>
      </c>
      <c r="F35" s="13" t="s">
        <v>300</v>
      </c>
      <c r="G35" s="13" t="s">
        <v>301</v>
      </c>
      <c r="H35" s="13" t="s">
        <v>302</v>
      </c>
      <c r="I35" s="18" t="s">
        <v>97</v>
      </c>
      <c r="J35" s="18" t="s">
        <v>107</v>
      </c>
      <c r="K35" s="18" t="s">
        <v>136</v>
      </c>
      <c r="L35" s="18" t="s">
        <v>100</v>
      </c>
      <c r="M35" s="13"/>
      <c r="N35" s="13"/>
    </row>
    <row r="36" spans="1:14">
      <c r="A36" s="15" t="s">
        <v>303</v>
      </c>
      <c r="B36" s="14" t="s">
        <v>276</v>
      </c>
      <c r="C36" s="14" t="s">
        <v>228</v>
      </c>
      <c r="D36" s="14" t="s">
        <v>304</v>
      </c>
      <c r="E36" s="14" t="s">
        <v>110</v>
      </c>
      <c r="F36" s="14" t="s">
        <v>305</v>
      </c>
      <c r="G36" s="14" t="s">
        <v>306</v>
      </c>
      <c r="H36" s="14" t="s">
        <v>307</v>
      </c>
      <c r="I36" s="17" t="s">
        <v>97</v>
      </c>
      <c r="J36" s="17" t="s">
        <v>107</v>
      </c>
      <c r="K36" s="17" t="s">
        <v>136</v>
      </c>
      <c r="L36" s="17" t="s">
        <v>100</v>
      </c>
      <c r="M36" s="14"/>
      <c r="N36" s="14"/>
    </row>
    <row r="37" spans="1:14">
      <c r="A37" s="16" t="s">
        <v>308</v>
      </c>
      <c r="B37" s="13" t="s">
        <v>276</v>
      </c>
      <c r="C37" s="13" t="s">
        <v>309</v>
      </c>
      <c r="D37" s="13" t="s">
        <v>310</v>
      </c>
      <c r="E37" s="13" t="s">
        <v>311</v>
      </c>
      <c r="F37" s="13" t="s">
        <v>312</v>
      </c>
      <c r="G37" s="13" t="s">
        <v>313</v>
      </c>
      <c r="H37" s="13" t="s">
        <v>314</v>
      </c>
      <c r="I37" s="18" t="s">
        <v>97</v>
      </c>
      <c r="J37" s="18" t="s">
        <v>98</v>
      </c>
      <c r="K37" s="18" t="s">
        <v>136</v>
      </c>
      <c r="L37" s="18" t="s">
        <v>100</v>
      </c>
      <c r="M37" s="13"/>
      <c r="N37" s="13"/>
    </row>
    <row r="38" spans="1:14">
      <c r="A38" s="15" t="s">
        <v>315</v>
      </c>
      <c r="B38" s="14" t="s">
        <v>276</v>
      </c>
      <c r="C38" s="14" t="s">
        <v>316</v>
      </c>
      <c r="D38" s="14" t="s">
        <v>317</v>
      </c>
      <c r="E38" s="14" t="s">
        <v>110</v>
      </c>
      <c r="F38" s="14" t="s">
        <v>318</v>
      </c>
      <c r="G38" s="14" t="s">
        <v>319</v>
      </c>
      <c r="H38" s="14" t="s">
        <v>320</v>
      </c>
      <c r="I38" s="17" t="s">
        <v>97</v>
      </c>
      <c r="J38" s="17" t="s">
        <v>98</v>
      </c>
      <c r="K38" s="17" t="s">
        <v>136</v>
      </c>
      <c r="L38" s="17" t="s">
        <v>100</v>
      </c>
      <c r="M38" s="14"/>
      <c r="N38" s="14"/>
    </row>
    <row r="39" spans="1:14">
      <c r="A39" s="16" t="s">
        <v>321</v>
      </c>
      <c r="B39" s="13" t="s">
        <v>276</v>
      </c>
      <c r="C39" s="13" t="s">
        <v>322</v>
      </c>
      <c r="D39" s="13" t="s">
        <v>323</v>
      </c>
      <c r="E39" s="13" t="s">
        <v>110</v>
      </c>
      <c r="F39" s="13" t="s">
        <v>324</v>
      </c>
      <c r="G39" s="13" t="s">
        <v>325</v>
      </c>
      <c r="H39" s="13" t="s">
        <v>326</v>
      </c>
      <c r="I39" s="18" t="s">
        <v>97</v>
      </c>
      <c r="J39" s="18" t="s">
        <v>107</v>
      </c>
      <c r="K39" s="18" t="s">
        <v>136</v>
      </c>
      <c r="L39" s="18" t="s">
        <v>100</v>
      </c>
      <c r="M39" s="13"/>
      <c r="N39" s="13"/>
    </row>
    <row r="40" spans="1:14">
      <c r="A40" s="15" t="s">
        <v>327</v>
      </c>
      <c r="B40" s="14" t="s">
        <v>276</v>
      </c>
      <c r="C40" s="14" t="s">
        <v>322</v>
      </c>
      <c r="D40" s="14" t="s">
        <v>328</v>
      </c>
      <c r="E40" s="14" t="s">
        <v>329</v>
      </c>
      <c r="F40" s="14" t="s">
        <v>330</v>
      </c>
      <c r="G40" s="14" t="s">
        <v>331</v>
      </c>
      <c r="H40" s="14" t="s">
        <v>332</v>
      </c>
      <c r="I40" s="17" t="s">
        <v>97</v>
      </c>
      <c r="J40" s="17" t="s">
        <v>107</v>
      </c>
      <c r="K40" s="17" t="s">
        <v>136</v>
      </c>
      <c r="L40" s="17" t="s">
        <v>100</v>
      </c>
      <c r="M40" s="14"/>
      <c r="N40" s="14"/>
    </row>
    <row r="41" spans="1:14">
      <c r="A41" s="16" t="s">
        <v>333</v>
      </c>
      <c r="B41" s="13" t="s">
        <v>276</v>
      </c>
      <c r="C41" s="13" t="s">
        <v>334</v>
      </c>
      <c r="D41" s="13" t="s">
        <v>335</v>
      </c>
      <c r="E41" s="13" t="s">
        <v>336</v>
      </c>
      <c r="F41" s="13" t="s">
        <v>337</v>
      </c>
      <c r="G41" s="13" t="s">
        <v>338</v>
      </c>
      <c r="H41" s="13" t="s">
        <v>339</v>
      </c>
      <c r="I41" s="18" t="s">
        <v>97</v>
      </c>
      <c r="J41" s="18" t="s">
        <v>98</v>
      </c>
      <c r="K41" s="18" t="s">
        <v>136</v>
      </c>
      <c r="L41" s="18" t="s">
        <v>100</v>
      </c>
      <c r="M41" s="13"/>
      <c r="N41" s="13"/>
    </row>
    <row r="42" spans="1:14">
      <c r="A42" s="15" t="s">
        <v>340</v>
      </c>
      <c r="B42" s="14" t="s">
        <v>276</v>
      </c>
      <c r="C42" s="14" t="s">
        <v>341</v>
      </c>
      <c r="D42" s="14" t="s">
        <v>342</v>
      </c>
      <c r="E42" s="14" t="s">
        <v>343</v>
      </c>
      <c r="F42" s="14" t="s">
        <v>344</v>
      </c>
      <c r="G42" s="14" t="s">
        <v>345</v>
      </c>
      <c r="H42" s="14" t="s">
        <v>346</v>
      </c>
      <c r="I42" s="17" t="s">
        <v>114</v>
      </c>
      <c r="J42" s="17" t="s">
        <v>98</v>
      </c>
      <c r="K42" s="17" t="s">
        <v>136</v>
      </c>
      <c r="L42" s="17" t="s">
        <v>100</v>
      </c>
      <c r="M42" s="14"/>
      <c r="N42" s="14"/>
    </row>
    <row r="43" spans="1:14">
      <c r="A43" s="16" t="s">
        <v>347</v>
      </c>
      <c r="B43" s="13" t="s">
        <v>276</v>
      </c>
      <c r="C43" s="13" t="s">
        <v>341</v>
      </c>
      <c r="D43" s="13" t="s">
        <v>348</v>
      </c>
      <c r="E43" s="13" t="s">
        <v>349</v>
      </c>
      <c r="F43" s="13" t="s">
        <v>350</v>
      </c>
      <c r="G43" s="13" t="s">
        <v>351</v>
      </c>
      <c r="H43" s="13" t="s">
        <v>352</v>
      </c>
      <c r="I43" s="18" t="s">
        <v>97</v>
      </c>
      <c r="J43" s="18" t="s">
        <v>107</v>
      </c>
      <c r="K43" s="18" t="s">
        <v>136</v>
      </c>
      <c r="L43" s="18" t="s">
        <v>100</v>
      </c>
      <c r="M43" s="13"/>
      <c r="N43" s="13"/>
    </row>
    <row r="44" spans="1:14">
      <c r="A44" s="15" t="s">
        <v>353</v>
      </c>
      <c r="B44" s="14" t="s">
        <v>276</v>
      </c>
      <c r="C44" s="14" t="s">
        <v>222</v>
      </c>
      <c r="D44" s="14" t="s">
        <v>354</v>
      </c>
      <c r="E44" s="14" t="s">
        <v>355</v>
      </c>
      <c r="F44" s="14" t="s">
        <v>356</v>
      </c>
      <c r="G44" s="14" t="s">
        <v>357</v>
      </c>
      <c r="H44" s="14" t="s">
        <v>358</v>
      </c>
      <c r="I44" s="17" t="s">
        <v>97</v>
      </c>
      <c r="J44" s="17" t="s">
        <v>98</v>
      </c>
      <c r="K44" s="17" t="s">
        <v>136</v>
      </c>
      <c r="L44" s="17" t="s">
        <v>100</v>
      </c>
      <c r="M44" s="14"/>
      <c r="N44" s="14"/>
    </row>
    <row r="45" spans="1:14">
      <c r="A45" s="16" t="s">
        <v>359</v>
      </c>
      <c r="B45" s="13" t="s">
        <v>276</v>
      </c>
      <c r="C45" s="13" t="s">
        <v>360</v>
      </c>
      <c r="D45" s="13" t="s">
        <v>361</v>
      </c>
      <c r="E45" s="13" t="s">
        <v>110</v>
      </c>
      <c r="F45" s="13" t="s">
        <v>362</v>
      </c>
      <c r="G45" s="13" t="s">
        <v>363</v>
      </c>
      <c r="H45" s="13" t="s">
        <v>364</v>
      </c>
      <c r="I45" s="18" t="s">
        <v>114</v>
      </c>
      <c r="J45" s="18" t="s">
        <v>107</v>
      </c>
      <c r="K45" s="18" t="s">
        <v>136</v>
      </c>
      <c r="L45" s="18" t="s">
        <v>100</v>
      </c>
      <c r="M45" s="13"/>
      <c r="N45" s="13"/>
    </row>
    <row r="46" spans="1:14">
      <c r="A46" s="15" t="s">
        <v>365</v>
      </c>
      <c r="B46" s="14" t="s">
        <v>276</v>
      </c>
      <c r="C46" s="14" t="s">
        <v>360</v>
      </c>
      <c r="D46" s="14" t="s">
        <v>366</v>
      </c>
      <c r="E46" s="14" t="s">
        <v>110</v>
      </c>
      <c r="F46" s="14" t="s">
        <v>367</v>
      </c>
      <c r="G46" s="14" t="s">
        <v>368</v>
      </c>
      <c r="H46" s="14" t="s">
        <v>369</v>
      </c>
      <c r="I46" s="17" t="s">
        <v>114</v>
      </c>
      <c r="J46" s="17" t="s">
        <v>107</v>
      </c>
      <c r="K46" s="17" t="s">
        <v>136</v>
      </c>
      <c r="L46" s="17" t="s">
        <v>100</v>
      </c>
      <c r="M46" s="14"/>
      <c r="N46" s="14"/>
    </row>
    <row r="47" spans="1:14">
      <c r="A47" s="16" t="s">
        <v>370</v>
      </c>
      <c r="B47" s="13" t="s">
        <v>276</v>
      </c>
      <c r="C47" s="13" t="s">
        <v>360</v>
      </c>
      <c r="D47" s="13" t="s">
        <v>371</v>
      </c>
      <c r="E47" s="13" t="s">
        <v>110</v>
      </c>
      <c r="F47" s="13" t="s">
        <v>372</v>
      </c>
      <c r="G47" s="13" t="s">
        <v>373</v>
      </c>
      <c r="H47" s="13" t="s">
        <v>374</v>
      </c>
      <c r="I47" s="18" t="s">
        <v>114</v>
      </c>
      <c r="J47" s="18" t="s">
        <v>107</v>
      </c>
      <c r="K47" s="18" t="s">
        <v>136</v>
      </c>
      <c r="L47" s="18" t="s">
        <v>100</v>
      </c>
      <c r="M47" s="13"/>
      <c r="N47" s="13"/>
    </row>
    <row r="48" spans="1:14">
      <c r="A48" s="15" t="s">
        <v>375</v>
      </c>
      <c r="B48" s="14" t="s">
        <v>276</v>
      </c>
      <c r="C48" s="14" t="s">
        <v>376</v>
      </c>
      <c r="D48" s="14" t="s">
        <v>377</v>
      </c>
      <c r="E48" s="14" t="s">
        <v>378</v>
      </c>
      <c r="F48" s="14" t="s">
        <v>379</v>
      </c>
      <c r="G48" s="14" t="s">
        <v>296</v>
      </c>
      <c r="H48" s="14" t="s">
        <v>380</v>
      </c>
      <c r="I48" s="17" t="s">
        <v>97</v>
      </c>
      <c r="J48" s="17" t="s">
        <v>98</v>
      </c>
      <c r="K48" s="17" t="s">
        <v>136</v>
      </c>
      <c r="L48" s="17" t="s">
        <v>100</v>
      </c>
      <c r="M48" s="14"/>
      <c r="N48" s="14"/>
    </row>
    <row r="49" spans="1:14">
      <c r="A49" s="16" t="s">
        <v>381</v>
      </c>
      <c r="B49" s="13" t="s">
        <v>276</v>
      </c>
      <c r="C49" s="13" t="s">
        <v>376</v>
      </c>
      <c r="D49" s="13" t="s">
        <v>382</v>
      </c>
      <c r="E49" s="13" t="s">
        <v>378</v>
      </c>
      <c r="F49" s="13" t="s">
        <v>383</v>
      </c>
      <c r="G49" s="13" t="s">
        <v>110</v>
      </c>
      <c r="H49" s="13" t="s">
        <v>384</v>
      </c>
      <c r="I49" s="18" t="s">
        <v>97</v>
      </c>
      <c r="J49" s="18" t="s">
        <v>98</v>
      </c>
      <c r="K49" s="18" t="s">
        <v>136</v>
      </c>
      <c r="L49" s="18" t="s">
        <v>100</v>
      </c>
      <c r="M49" s="13"/>
      <c r="N49" s="13"/>
    </row>
    <row r="50" spans="1:14">
      <c r="A50" s="15" t="s">
        <v>385</v>
      </c>
      <c r="B50" s="14" t="s">
        <v>276</v>
      </c>
      <c r="C50" s="14" t="s">
        <v>386</v>
      </c>
      <c r="D50" s="14" t="s">
        <v>387</v>
      </c>
      <c r="E50" s="14" t="s">
        <v>388</v>
      </c>
      <c r="F50" s="14" t="s">
        <v>389</v>
      </c>
      <c r="G50" s="14" t="s">
        <v>390</v>
      </c>
      <c r="H50" s="14" t="s">
        <v>391</v>
      </c>
      <c r="I50" s="17" t="s">
        <v>97</v>
      </c>
      <c r="J50" s="17" t="s">
        <v>107</v>
      </c>
      <c r="K50" s="17" t="s">
        <v>136</v>
      </c>
      <c r="L50" s="17" t="s">
        <v>100</v>
      </c>
      <c r="M50" s="14"/>
      <c r="N50" s="14"/>
    </row>
    <row r="51" spans="1:14">
      <c r="A51" s="16" t="s">
        <v>392</v>
      </c>
      <c r="B51" s="13" t="s">
        <v>276</v>
      </c>
      <c r="C51" s="13" t="s">
        <v>393</v>
      </c>
      <c r="D51" s="13" t="s">
        <v>394</v>
      </c>
      <c r="E51" s="13" t="s">
        <v>395</v>
      </c>
      <c r="F51" s="13" t="s">
        <v>396</v>
      </c>
      <c r="G51" s="13" t="s">
        <v>397</v>
      </c>
      <c r="H51" s="13" t="s">
        <v>398</v>
      </c>
      <c r="I51" s="18" t="s">
        <v>114</v>
      </c>
      <c r="J51" s="18" t="s">
        <v>98</v>
      </c>
      <c r="K51" s="18" t="s">
        <v>136</v>
      </c>
      <c r="L51" s="18" t="s">
        <v>100</v>
      </c>
      <c r="M51" s="13"/>
      <c r="N51" s="13"/>
    </row>
    <row r="52" spans="1:14">
      <c r="A52" s="15" t="s">
        <v>399</v>
      </c>
      <c r="B52" s="14" t="s">
        <v>276</v>
      </c>
      <c r="C52" s="14" t="s">
        <v>400</v>
      </c>
      <c r="D52" s="14" t="s">
        <v>401</v>
      </c>
      <c r="E52" s="14" t="s">
        <v>110</v>
      </c>
      <c r="F52" s="14" t="s">
        <v>402</v>
      </c>
      <c r="G52" s="14" t="s">
        <v>403</v>
      </c>
      <c r="H52" s="14" t="s">
        <v>404</v>
      </c>
      <c r="I52" s="17" t="s">
        <v>114</v>
      </c>
      <c r="J52" s="17" t="s">
        <v>107</v>
      </c>
      <c r="K52" s="17" t="s">
        <v>136</v>
      </c>
      <c r="L52" s="17" t="s">
        <v>100</v>
      </c>
      <c r="M52" s="14"/>
      <c r="N52" s="14"/>
    </row>
    <row r="53" spans="1:14">
      <c r="A53" s="16" t="s">
        <v>405</v>
      </c>
      <c r="B53" s="13" t="s">
        <v>276</v>
      </c>
      <c r="C53" s="13" t="s">
        <v>406</v>
      </c>
      <c r="D53" s="13" t="s">
        <v>407</v>
      </c>
      <c r="E53" s="13" t="s">
        <v>110</v>
      </c>
      <c r="F53" s="13" t="s">
        <v>408</v>
      </c>
      <c r="G53" s="13" t="s">
        <v>409</v>
      </c>
      <c r="H53" s="13" t="s">
        <v>410</v>
      </c>
      <c r="I53" s="18" t="s">
        <v>114</v>
      </c>
      <c r="J53" s="18" t="s">
        <v>107</v>
      </c>
      <c r="K53" s="18" t="s">
        <v>136</v>
      </c>
      <c r="L53" s="18" t="s">
        <v>100</v>
      </c>
      <c r="M53" s="13"/>
      <c r="N53" s="13"/>
    </row>
    <row r="54" spans="1:14">
      <c r="A54" s="15" t="s">
        <v>411</v>
      </c>
      <c r="B54" s="14" t="s">
        <v>412</v>
      </c>
      <c r="C54" s="14" t="s">
        <v>413</v>
      </c>
      <c r="D54" s="14" t="s">
        <v>414</v>
      </c>
      <c r="E54" s="14" t="s">
        <v>415</v>
      </c>
      <c r="F54" s="14" t="s">
        <v>416</v>
      </c>
      <c r="G54" s="14" t="s">
        <v>110</v>
      </c>
      <c r="H54" s="14" t="s">
        <v>417</v>
      </c>
      <c r="I54" s="17" t="s">
        <v>418</v>
      </c>
      <c r="J54" s="17" t="s">
        <v>98</v>
      </c>
      <c r="K54" s="17" t="s">
        <v>136</v>
      </c>
      <c r="L54" s="17" t="s">
        <v>100</v>
      </c>
      <c r="M54" s="14"/>
      <c r="N54" s="14"/>
    </row>
    <row r="55" spans="1:14">
      <c r="A55" s="16" t="s">
        <v>419</v>
      </c>
      <c r="B55" s="13" t="s">
        <v>412</v>
      </c>
      <c r="C55" s="13" t="s">
        <v>420</v>
      </c>
      <c r="D55" s="13" t="s">
        <v>421</v>
      </c>
      <c r="E55" s="13" t="s">
        <v>422</v>
      </c>
      <c r="F55" s="13" t="s">
        <v>423</v>
      </c>
      <c r="G55" s="13" t="s">
        <v>424</v>
      </c>
      <c r="H55" s="13" t="s">
        <v>425</v>
      </c>
      <c r="I55" s="18" t="s">
        <v>114</v>
      </c>
      <c r="J55" s="18" t="s">
        <v>98</v>
      </c>
      <c r="K55" s="18" t="s">
        <v>136</v>
      </c>
      <c r="L55" s="18" t="s">
        <v>100</v>
      </c>
      <c r="M55" s="13"/>
      <c r="N55" s="13"/>
    </row>
    <row r="56" spans="1:14">
      <c r="A56" s="15" t="s">
        <v>426</v>
      </c>
      <c r="B56" s="14" t="s">
        <v>412</v>
      </c>
      <c r="C56" s="14" t="s">
        <v>427</v>
      </c>
      <c r="D56" s="14" t="s">
        <v>428</v>
      </c>
      <c r="E56" s="14" t="s">
        <v>110</v>
      </c>
      <c r="F56" s="14" t="s">
        <v>429</v>
      </c>
      <c r="G56" s="14" t="s">
        <v>430</v>
      </c>
      <c r="H56" s="14" t="s">
        <v>431</v>
      </c>
      <c r="I56" s="17" t="s">
        <v>114</v>
      </c>
      <c r="J56" s="17" t="s">
        <v>98</v>
      </c>
      <c r="K56" s="17" t="s">
        <v>136</v>
      </c>
      <c r="L56" s="17" t="s">
        <v>100</v>
      </c>
      <c r="M56" s="14"/>
      <c r="N56" s="14"/>
    </row>
    <row r="57" spans="1:14">
      <c r="A57" s="16" t="s">
        <v>432</v>
      </c>
      <c r="B57" s="13" t="s">
        <v>412</v>
      </c>
      <c r="C57" s="13" t="s">
        <v>433</v>
      </c>
      <c r="D57" s="13" t="s">
        <v>434</v>
      </c>
      <c r="E57" s="13" t="s">
        <v>110</v>
      </c>
      <c r="F57" s="13" t="s">
        <v>435</v>
      </c>
      <c r="G57" s="13" t="s">
        <v>436</v>
      </c>
      <c r="H57" s="13" t="s">
        <v>437</v>
      </c>
      <c r="I57" s="18" t="s">
        <v>114</v>
      </c>
      <c r="J57" s="18" t="s">
        <v>98</v>
      </c>
      <c r="K57" s="18" t="s">
        <v>136</v>
      </c>
      <c r="L57" s="18" t="s">
        <v>100</v>
      </c>
      <c r="M57" s="13"/>
      <c r="N57" s="13"/>
    </row>
    <row r="58" spans="1:14">
      <c r="A58" s="15" t="s">
        <v>438</v>
      </c>
      <c r="B58" s="14" t="s">
        <v>412</v>
      </c>
      <c r="C58" s="14" t="s">
        <v>439</v>
      </c>
      <c r="D58" s="14" t="s">
        <v>440</v>
      </c>
      <c r="E58" s="14" t="s">
        <v>110</v>
      </c>
      <c r="F58" s="14" t="s">
        <v>441</v>
      </c>
      <c r="G58" s="14" t="s">
        <v>110</v>
      </c>
      <c r="H58" s="14" t="s">
        <v>442</v>
      </c>
      <c r="I58" s="17" t="s">
        <v>114</v>
      </c>
      <c r="J58" s="17" t="s">
        <v>98</v>
      </c>
      <c r="K58" s="17" t="s">
        <v>136</v>
      </c>
      <c r="L58" s="17" t="s">
        <v>100</v>
      </c>
      <c r="M58" s="14"/>
      <c r="N58" s="14"/>
    </row>
    <row r="59" spans="1:14">
      <c r="A59" s="16" t="s">
        <v>443</v>
      </c>
      <c r="B59" s="13" t="s">
        <v>444</v>
      </c>
      <c r="C59" s="13" t="s">
        <v>445</v>
      </c>
      <c r="D59" s="13" t="s">
        <v>446</v>
      </c>
      <c r="E59" s="13" t="s">
        <v>447</v>
      </c>
      <c r="F59" s="13" t="s">
        <v>448</v>
      </c>
      <c r="G59" s="13" t="s">
        <v>449</v>
      </c>
      <c r="H59" s="13" t="s">
        <v>450</v>
      </c>
      <c r="I59" s="18" t="s">
        <v>114</v>
      </c>
      <c r="J59" s="18" t="s">
        <v>98</v>
      </c>
      <c r="K59" s="18" t="s">
        <v>136</v>
      </c>
      <c r="L59" s="18" t="s">
        <v>100</v>
      </c>
      <c r="M59" s="13"/>
      <c r="N59" s="13"/>
    </row>
    <row r="60" spans="1:14">
      <c r="A60" s="15" t="s">
        <v>451</v>
      </c>
      <c r="B60" s="14" t="s">
        <v>444</v>
      </c>
      <c r="C60" s="14" t="s">
        <v>452</v>
      </c>
      <c r="D60" s="14" t="s">
        <v>453</v>
      </c>
      <c r="E60" s="14" t="s">
        <v>110</v>
      </c>
      <c r="F60" s="14" t="s">
        <v>454</v>
      </c>
      <c r="G60" s="14" t="s">
        <v>455</v>
      </c>
      <c r="H60" s="14" t="s">
        <v>456</v>
      </c>
      <c r="I60" s="17" t="s">
        <v>114</v>
      </c>
      <c r="J60" s="17" t="s">
        <v>98</v>
      </c>
      <c r="K60" s="17" t="s">
        <v>136</v>
      </c>
      <c r="L60" s="17" t="s">
        <v>100</v>
      </c>
      <c r="M60" s="14"/>
      <c r="N60" s="14"/>
    </row>
    <row r="61" spans="1:14">
      <c r="A61" s="16" t="s">
        <v>457</v>
      </c>
      <c r="B61" s="13" t="s">
        <v>444</v>
      </c>
      <c r="C61" s="13" t="s">
        <v>458</v>
      </c>
      <c r="D61" s="13" t="s">
        <v>459</v>
      </c>
      <c r="E61" s="13" t="s">
        <v>110</v>
      </c>
      <c r="F61" s="13" t="s">
        <v>460</v>
      </c>
      <c r="G61" s="13" t="s">
        <v>461</v>
      </c>
      <c r="H61" s="13" t="s">
        <v>462</v>
      </c>
      <c r="I61" s="18" t="s">
        <v>114</v>
      </c>
      <c r="J61" s="18" t="s">
        <v>98</v>
      </c>
      <c r="K61" s="18" t="s">
        <v>136</v>
      </c>
      <c r="L61" s="18" t="s">
        <v>100</v>
      </c>
      <c r="M61" s="13"/>
      <c r="N61" s="13"/>
    </row>
    <row r="62" spans="1:14">
      <c r="A62" s="15" t="s">
        <v>463</v>
      </c>
      <c r="B62" s="14" t="s">
        <v>444</v>
      </c>
      <c r="C62" s="14" t="s">
        <v>464</v>
      </c>
      <c r="D62" s="14" t="s">
        <v>465</v>
      </c>
      <c r="E62" s="14" t="s">
        <v>466</v>
      </c>
      <c r="F62" s="14" t="s">
        <v>467</v>
      </c>
      <c r="G62" s="14" t="s">
        <v>468</v>
      </c>
      <c r="H62" s="14" t="s">
        <v>469</v>
      </c>
      <c r="I62" s="17" t="s">
        <v>97</v>
      </c>
      <c r="J62" s="17" t="s">
        <v>98</v>
      </c>
      <c r="K62" s="17" t="s">
        <v>136</v>
      </c>
      <c r="L62" s="17" t="s">
        <v>100</v>
      </c>
      <c r="M62" s="14"/>
      <c r="N62" s="14"/>
    </row>
    <row r="63" spans="1:14">
      <c r="A63" s="16" t="s">
        <v>470</v>
      </c>
      <c r="B63" s="13" t="s">
        <v>444</v>
      </c>
      <c r="C63" s="13" t="s">
        <v>464</v>
      </c>
      <c r="D63" s="13" t="s">
        <v>471</v>
      </c>
      <c r="E63" s="13" t="s">
        <v>472</v>
      </c>
      <c r="F63" s="13" t="s">
        <v>473</v>
      </c>
      <c r="G63" s="13" t="s">
        <v>474</v>
      </c>
      <c r="H63" s="13" t="s">
        <v>475</v>
      </c>
      <c r="I63" s="18" t="s">
        <v>97</v>
      </c>
      <c r="J63" s="18" t="s">
        <v>98</v>
      </c>
      <c r="K63" s="18" t="s">
        <v>136</v>
      </c>
      <c r="L63" s="18" t="s">
        <v>100</v>
      </c>
      <c r="M63" s="13"/>
      <c r="N63" s="13"/>
    </row>
    <row r="64" spans="1:14">
      <c r="A64" s="15" t="s">
        <v>476</v>
      </c>
      <c r="B64" s="14" t="s">
        <v>444</v>
      </c>
      <c r="C64" s="14" t="s">
        <v>464</v>
      </c>
      <c r="D64" s="14" t="s">
        <v>477</v>
      </c>
      <c r="E64" s="14" t="s">
        <v>478</v>
      </c>
      <c r="F64" s="14" t="s">
        <v>479</v>
      </c>
      <c r="G64" s="14" t="s">
        <v>480</v>
      </c>
      <c r="H64" s="14" t="s">
        <v>481</v>
      </c>
      <c r="I64" s="17" t="s">
        <v>114</v>
      </c>
      <c r="J64" s="17" t="s">
        <v>98</v>
      </c>
      <c r="K64" s="17" t="s">
        <v>136</v>
      </c>
      <c r="L64" s="17" t="s">
        <v>100</v>
      </c>
      <c r="M64" s="14"/>
      <c r="N64" s="14"/>
    </row>
    <row r="65" spans="1:14">
      <c r="A65" s="16" t="s">
        <v>482</v>
      </c>
      <c r="B65" s="13" t="s">
        <v>444</v>
      </c>
      <c r="C65" s="13" t="s">
        <v>464</v>
      </c>
      <c r="D65" s="13" t="s">
        <v>483</v>
      </c>
      <c r="E65" s="13" t="s">
        <v>484</v>
      </c>
      <c r="F65" s="13" t="s">
        <v>485</v>
      </c>
      <c r="G65" s="13" t="s">
        <v>110</v>
      </c>
      <c r="H65" s="13" t="s">
        <v>486</v>
      </c>
      <c r="I65" s="18" t="s">
        <v>418</v>
      </c>
      <c r="J65" s="18" t="s">
        <v>98</v>
      </c>
      <c r="K65" s="18" t="s">
        <v>136</v>
      </c>
      <c r="L65" s="18" t="s">
        <v>100</v>
      </c>
      <c r="M65" s="13"/>
      <c r="N65" s="13"/>
    </row>
    <row r="66" spans="1:14">
      <c r="A66" s="15" t="s">
        <v>487</v>
      </c>
      <c r="B66" s="14" t="s">
        <v>444</v>
      </c>
      <c r="C66" s="14" t="s">
        <v>488</v>
      </c>
      <c r="D66" s="14" t="s">
        <v>489</v>
      </c>
      <c r="E66" s="14" t="s">
        <v>490</v>
      </c>
      <c r="F66" s="14" t="s">
        <v>491</v>
      </c>
      <c r="G66" s="14" t="s">
        <v>492</v>
      </c>
      <c r="H66" s="14" t="s">
        <v>493</v>
      </c>
      <c r="I66" s="17" t="s">
        <v>97</v>
      </c>
      <c r="J66" s="17" t="s">
        <v>98</v>
      </c>
      <c r="K66" s="17" t="s">
        <v>136</v>
      </c>
      <c r="L66" s="17" t="s">
        <v>100</v>
      </c>
      <c r="M66" s="14"/>
      <c r="N66" s="14"/>
    </row>
    <row r="67" spans="1:14">
      <c r="A67" s="16" t="s">
        <v>494</v>
      </c>
      <c r="B67" s="13" t="s">
        <v>444</v>
      </c>
      <c r="C67" s="13" t="s">
        <v>488</v>
      </c>
      <c r="D67" s="13" t="s">
        <v>495</v>
      </c>
      <c r="E67" s="13" t="s">
        <v>496</v>
      </c>
      <c r="F67" s="13" t="s">
        <v>497</v>
      </c>
      <c r="G67" s="13" t="s">
        <v>498</v>
      </c>
      <c r="H67" s="13" t="s">
        <v>499</v>
      </c>
      <c r="I67" s="18" t="s">
        <v>114</v>
      </c>
      <c r="J67" s="18" t="s">
        <v>107</v>
      </c>
      <c r="K67" s="18" t="s">
        <v>136</v>
      </c>
      <c r="L67" s="18" t="s">
        <v>100</v>
      </c>
      <c r="M67" s="13"/>
      <c r="N67" s="13"/>
    </row>
    <row r="68" spans="1:14">
      <c r="A68" s="15" t="s">
        <v>500</v>
      </c>
      <c r="B68" s="14" t="s">
        <v>444</v>
      </c>
      <c r="C68" s="14" t="s">
        <v>488</v>
      </c>
      <c r="D68" s="14" t="s">
        <v>501</v>
      </c>
      <c r="E68" s="14" t="s">
        <v>502</v>
      </c>
      <c r="F68" s="14" t="s">
        <v>503</v>
      </c>
      <c r="G68" s="14" t="s">
        <v>110</v>
      </c>
      <c r="H68" s="14" t="s">
        <v>504</v>
      </c>
      <c r="I68" s="17" t="s">
        <v>114</v>
      </c>
      <c r="J68" s="17" t="s">
        <v>98</v>
      </c>
      <c r="K68" s="17" t="s">
        <v>136</v>
      </c>
      <c r="L68" s="17" t="s">
        <v>100</v>
      </c>
      <c r="M68" s="14"/>
      <c r="N68" s="14"/>
    </row>
    <row r="69" spans="1:14">
      <c r="A69" s="16" t="s">
        <v>505</v>
      </c>
      <c r="B69" s="13" t="s">
        <v>444</v>
      </c>
      <c r="C69" s="13" t="s">
        <v>488</v>
      </c>
      <c r="D69" s="13" t="s">
        <v>506</v>
      </c>
      <c r="E69" s="13" t="s">
        <v>502</v>
      </c>
      <c r="F69" s="13" t="s">
        <v>507</v>
      </c>
      <c r="G69" s="13" t="s">
        <v>508</v>
      </c>
      <c r="H69" s="13" t="s">
        <v>509</v>
      </c>
      <c r="I69" s="18" t="s">
        <v>418</v>
      </c>
      <c r="J69" s="18" t="s">
        <v>98</v>
      </c>
      <c r="K69" s="18" t="s">
        <v>136</v>
      </c>
      <c r="L69" s="18" t="s">
        <v>100</v>
      </c>
      <c r="M69" s="13"/>
      <c r="N69" s="13"/>
    </row>
    <row r="70" spans="1:14">
      <c r="A70" s="15" t="s">
        <v>510</v>
      </c>
      <c r="B70" s="14" t="s">
        <v>444</v>
      </c>
      <c r="C70" s="14" t="s">
        <v>488</v>
      </c>
      <c r="D70" s="14" t="s">
        <v>511</v>
      </c>
      <c r="E70" s="14" t="s">
        <v>512</v>
      </c>
      <c r="F70" s="14" t="s">
        <v>513</v>
      </c>
      <c r="G70" s="14" t="s">
        <v>514</v>
      </c>
      <c r="H70" s="14" t="s">
        <v>515</v>
      </c>
      <c r="I70" s="17" t="s">
        <v>97</v>
      </c>
      <c r="J70" s="17" t="s">
        <v>98</v>
      </c>
      <c r="K70" s="17" t="s">
        <v>136</v>
      </c>
      <c r="L70" s="17" t="s">
        <v>100</v>
      </c>
      <c r="M70" s="14"/>
      <c r="N70" s="14"/>
    </row>
    <row r="71" spans="1:14">
      <c r="A71" s="16" t="s">
        <v>516</v>
      </c>
      <c r="B71" s="13" t="s">
        <v>444</v>
      </c>
      <c r="C71" s="13" t="s">
        <v>488</v>
      </c>
      <c r="D71" s="13" t="s">
        <v>517</v>
      </c>
      <c r="E71" s="13" t="s">
        <v>518</v>
      </c>
      <c r="F71" s="13" t="s">
        <v>519</v>
      </c>
      <c r="G71" s="13" t="s">
        <v>110</v>
      </c>
      <c r="H71" s="13" t="s">
        <v>520</v>
      </c>
      <c r="I71" s="18" t="s">
        <v>418</v>
      </c>
      <c r="J71" s="18" t="s">
        <v>98</v>
      </c>
      <c r="K71" s="18" t="s">
        <v>136</v>
      </c>
      <c r="L71" s="18" t="s">
        <v>100</v>
      </c>
      <c r="M71" s="13"/>
      <c r="N71" s="13"/>
    </row>
    <row r="72" spans="1:14">
      <c r="A72" s="15" t="s">
        <v>521</v>
      </c>
      <c r="B72" s="14" t="s">
        <v>444</v>
      </c>
      <c r="C72" s="14" t="s">
        <v>522</v>
      </c>
      <c r="D72" s="14" t="s">
        <v>523</v>
      </c>
      <c r="E72" s="14" t="s">
        <v>524</v>
      </c>
      <c r="F72" s="14" t="s">
        <v>525</v>
      </c>
      <c r="G72" s="14" t="s">
        <v>526</v>
      </c>
      <c r="H72" s="14" t="s">
        <v>527</v>
      </c>
      <c r="I72" s="17" t="s">
        <v>97</v>
      </c>
      <c r="J72" s="17" t="s">
        <v>98</v>
      </c>
      <c r="K72" s="17" t="s">
        <v>488</v>
      </c>
      <c r="L72" s="17" t="s">
        <v>100</v>
      </c>
      <c r="M72" s="14"/>
      <c r="N72" s="14"/>
    </row>
    <row r="73" spans="1:14">
      <c r="A73" s="16" t="s">
        <v>528</v>
      </c>
      <c r="B73" s="13" t="s">
        <v>444</v>
      </c>
      <c r="C73" s="13" t="s">
        <v>522</v>
      </c>
      <c r="D73" s="13" t="s">
        <v>529</v>
      </c>
      <c r="E73" s="13" t="s">
        <v>328</v>
      </c>
      <c r="F73" s="13" t="s">
        <v>530</v>
      </c>
      <c r="G73" s="13" t="s">
        <v>331</v>
      </c>
      <c r="H73" s="13" t="s">
        <v>531</v>
      </c>
      <c r="I73" s="18" t="s">
        <v>97</v>
      </c>
      <c r="J73" s="18" t="s">
        <v>121</v>
      </c>
      <c r="K73" s="18" t="s">
        <v>488</v>
      </c>
      <c r="L73" s="18" t="s">
        <v>100</v>
      </c>
      <c r="M73" s="13"/>
      <c r="N73" s="13"/>
    </row>
    <row r="74" spans="1:14">
      <c r="A74" s="15" t="s">
        <v>532</v>
      </c>
      <c r="B74" s="14" t="s">
        <v>444</v>
      </c>
      <c r="C74" s="14" t="s">
        <v>522</v>
      </c>
      <c r="D74" s="14" t="s">
        <v>533</v>
      </c>
      <c r="E74" s="14" t="s">
        <v>534</v>
      </c>
      <c r="F74" s="14" t="s">
        <v>535</v>
      </c>
      <c r="G74" s="14" t="s">
        <v>110</v>
      </c>
      <c r="H74" s="14" t="s">
        <v>536</v>
      </c>
      <c r="I74" s="17" t="s">
        <v>114</v>
      </c>
      <c r="J74" s="17" t="s">
        <v>98</v>
      </c>
      <c r="K74" s="17" t="s">
        <v>488</v>
      </c>
      <c r="L74" s="17" t="s">
        <v>100</v>
      </c>
      <c r="M74" s="14"/>
      <c r="N74" s="14"/>
    </row>
    <row r="75" spans="1:14">
      <c r="A75" s="16" t="s">
        <v>537</v>
      </c>
      <c r="B75" s="13" t="s">
        <v>444</v>
      </c>
      <c r="C75" s="13" t="s">
        <v>538</v>
      </c>
      <c r="D75" s="13" t="s">
        <v>539</v>
      </c>
      <c r="E75" s="13" t="s">
        <v>540</v>
      </c>
      <c r="F75" s="13" t="s">
        <v>541</v>
      </c>
      <c r="G75" s="13" t="s">
        <v>110</v>
      </c>
      <c r="H75" s="13" t="s">
        <v>542</v>
      </c>
      <c r="I75" s="18" t="s">
        <v>114</v>
      </c>
      <c r="J75" s="18" t="s">
        <v>98</v>
      </c>
      <c r="K75" s="18" t="s">
        <v>136</v>
      </c>
      <c r="L75" s="18" t="s">
        <v>100</v>
      </c>
      <c r="M75" s="13"/>
      <c r="N75" s="13"/>
    </row>
    <row r="76" spans="1:14">
      <c r="A76" s="15" t="s">
        <v>543</v>
      </c>
      <c r="B76" s="14" t="s">
        <v>444</v>
      </c>
      <c r="C76" s="14" t="s">
        <v>538</v>
      </c>
      <c r="D76" s="14" t="s">
        <v>544</v>
      </c>
      <c r="E76" s="14" t="s">
        <v>545</v>
      </c>
      <c r="F76" s="14" t="s">
        <v>546</v>
      </c>
      <c r="G76" s="14" t="s">
        <v>547</v>
      </c>
      <c r="H76" s="14" t="s">
        <v>548</v>
      </c>
      <c r="I76" s="17" t="s">
        <v>97</v>
      </c>
      <c r="J76" s="17" t="s">
        <v>98</v>
      </c>
      <c r="K76" s="17" t="s">
        <v>136</v>
      </c>
      <c r="L76" s="17" t="s">
        <v>100</v>
      </c>
      <c r="M76" s="14"/>
      <c r="N76" s="14"/>
    </row>
    <row r="77" spans="1:14">
      <c r="A77" s="16" t="s">
        <v>549</v>
      </c>
      <c r="B77" s="13" t="s">
        <v>444</v>
      </c>
      <c r="C77" s="13" t="s">
        <v>538</v>
      </c>
      <c r="D77" s="13" t="s">
        <v>550</v>
      </c>
      <c r="E77" s="13" t="s">
        <v>540</v>
      </c>
      <c r="F77" s="13" t="s">
        <v>551</v>
      </c>
      <c r="G77" s="13" t="s">
        <v>110</v>
      </c>
      <c r="H77" s="13" t="s">
        <v>552</v>
      </c>
      <c r="I77" s="18" t="s">
        <v>418</v>
      </c>
      <c r="J77" s="18" t="s">
        <v>98</v>
      </c>
      <c r="K77" s="18" t="s">
        <v>136</v>
      </c>
      <c r="L77" s="18" t="s">
        <v>100</v>
      </c>
      <c r="M77" s="13"/>
      <c r="N77" s="13"/>
    </row>
    <row r="78" spans="1:14">
      <c r="A78" s="15" t="s">
        <v>553</v>
      </c>
      <c r="B78" s="14" t="s">
        <v>444</v>
      </c>
      <c r="C78" s="14" t="s">
        <v>554</v>
      </c>
      <c r="D78" s="14" t="s">
        <v>555</v>
      </c>
      <c r="E78" s="14" t="s">
        <v>556</v>
      </c>
      <c r="F78" s="14" t="s">
        <v>557</v>
      </c>
      <c r="G78" s="14" t="s">
        <v>558</v>
      </c>
      <c r="H78" s="14" t="s">
        <v>559</v>
      </c>
      <c r="I78" s="17" t="s">
        <v>97</v>
      </c>
      <c r="J78" s="17" t="s">
        <v>98</v>
      </c>
      <c r="K78" s="17" t="s">
        <v>136</v>
      </c>
      <c r="L78" s="17" t="s">
        <v>100</v>
      </c>
      <c r="M78" s="14"/>
      <c r="N78" s="14"/>
    </row>
    <row r="79" spans="1:14">
      <c r="A79" s="16" t="s">
        <v>560</v>
      </c>
      <c r="B79" s="13" t="s">
        <v>444</v>
      </c>
      <c r="C79" s="13" t="s">
        <v>554</v>
      </c>
      <c r="D79" s="13" t="s">
        <v>561</v>
      </c>
      <c r="E79" s="13" t="s">
        <v>110</v>
      </c>
      <c r="F79" s="13" t="s">
        <v>562</v>
      </c>
      <c r="G79" s="13" t="s">
        <v>558</v>
      </c>
      <c r="H79" s="13" t="s">
        <v>563</v>
      </c>
      <c r="I79" s="18" t="s">
        <v>114</v>
      </c>
      <c r="J79" s="18" t="s">
        <v>98</v>
      </c>
      <c r="K79" s="18" t="s">
        <v>136</v>
      </c>
      <c r="L79" s="18" t="s">
        <v>100</v>
      </c>
      <c r="M79" s="13"/>
      <c r="N79" s="13"/>
    </row>
    <row r="80" spans="1:14">
      <c r="A80" s="15" t="s">
        <v>564</v>
      </c>
      <c r="B80" s="14" t="s">
        <v>444</v>
      </c>
      <c r="C80" s="14" t="s">
        <v>554</v>
      </c>
      <c r="D80" s="14" t="s">
        <v>565</v>
      </c>
      <c r="E80" s="14" t="s">
        <v>110</v>
      </c>
      <c r="F80" s="14" t="s">
        <v>566</v>
      </c>
      <c r="G80" s="14" t="s">
        <v>567</v>
      </c>
      <c r="H80" s="14" t="s">
        <v>568</v>
      </c>
      <c r="I80" s="17" t="s">
        <v>114</v>
      </c>
      <c r="J80" s="17" t="s">
        <v>98</v>
      </c>
      <c r="K80" s="17" t="s">
        <v>136</v>
      </c>
      <c r="L80" s="17" t="s">
        <v>100</v>
      </c>
      <c r="M80" s="14"/>
      <c r="N80" s="14"/>
    </row>
    <row r="81" spans="1:14">
      <c r="A81" s="16" t="s">
        <v>569</v>
      </c>
      <c r="B81" s="13" t="s">
        <v>570</v>
      </c>
      <c r="C81" s="13" t="s">
        <v>571</v>
      </c>
      <c r="D81" s="13" t="s">
        <v>572</v>
      </c>
      <c r="E81" s="13" t="s">
        <v>573</v>
      </c>
      <c r="F81" s="13" t="s">
        <v>574</v>
      </c>
      <c r="G81" s="13" t="s">
        <v>575</v>
      </c>
      <c r="H81" s="13" t="s">
        <v>576</v>
      </c>
      <c r="I81" s="18" t="s">
        <v>97</v>
      </c>
      <c r="J81" s="18" t="s">
        <v>98</v>
      </c>
      <c r="K81" s="18" t="s">
        <v>142</v>
      </c>
      <c r="L81" s="18" t="s">
        <v>100</v>
      </c>
      <c r="M81" s="13"/>
      <c r="N81" s="13"/>
    </row>
    <row r="82" spans="1:14">
      <c r="A82" s="15" t="s">
        <v>577</v>
      </c>
      <c r="B82" s="14" t="s">
        <v>570</v>
      </c>
      <c r="C82" s="14" t="s">
        <v>578</v>
      </c>
      <c r="D82" s="14" t="s">
        <v>579</v>
      </c>
      <c r="E82" s="14" t="s">
        <v>580</v>
      </c>
      <c r="F82" s="14" t="s">
        <v>581</v>
      </c>
      <c r="G82" s="14" t="s">
        <v>110</v>
      </c>
      <c r="H82" s="14" t="s">
        <v>582</v>
      </c>
      <c r="I82" s="17" t="s">
        <v>418</v>
      </c>
      <c r="J82" s="17" t="s">
        <v>98</v>
      </c>
      <c r="K82" s="17" t="s">
        <v>142</v>
      </c>
      <c r="L82" s="17" t="s">
        <v>100</v>
      </c>
      <c r="M82" s="14"/>
      <c r="N82" s="14"/>
    </row>
    <row r="83" spans="1:14">
      <c r="A83" s="16" t="s">
        <v>583</v>
      </c>
      <c r="B83" s="13" t="s">
        <v>570</v>
      </c>
      <c r="C83" s="13" t="s">
        <v>584</v>
      </c>
      <c r="D83" s="13" t="s">
        <v>585</v>
      </c>
      <c r="E83" s="13" t="s">
        <v>586</v>
      </c>
      <c r="F83" s="13" t="s">
        <v>587</v>
      </c>
      <c r="G83" s="13" t="s">
        <v>110</v>
      </c>
      <c r="H83" s="13" t="s">
        <v>588</v>
      </c>
      <c r="I83" s="18" t="s">
        <v>97</v>
      </c>
      <c r="J83" s="18" t="s">
        <v>98</v>
      </c>
      <c r="K83" s="18" t="s">
        <v>136</v>
      </c>
      <c r="L83" s="18" t="s">
        <v>100</v>
      </c>
      <c r="M83" s="13"/>
      <c r="N83" s="13"/>
    </row>
    <row r="84" spans="1:14">
      <c r="A84" s="15" t="s">
        <v>589</v>
      </c>
      <c r="B84" s="14" t="s">
        <v>570</v>
      </c>
      <c r="C84" s="14" t="s">
        <v>590</v>
      </c>
      <c r="D84" s="14" t="s">
        <v>591</v>
      </c>
      <c r="E84" s="14" t="s">
        <v>586</v>
      </c>
      <c r="F84" s="14" t="s">
        <v>592</v>
      </c>
      <c r="G84" s="14" t="s">
        <v>593</v>
      </c>
      <c r="H84" s="14" t="s">
        <v>594</v>
      </c>
      <c r="I84" s="17" t="s">
        <v>114</v>
      </c>
      <c r="J84" s="17" t="s">
        <v>98</v>
      </c>
      <c r="K84" s="17" t="s">
        <v>136</v>
      </c>
      <c r="L84" s="17" t="s">
        <v>100</v>
      </c>
      <c r="M84" s="14"/>
      <c r="N84" s="14"/>
    </row>
    <row r="85" spans="1:14">
      <c r="A85" s="16" t="s">
        <v>595</v>
      </c>
      <c r="B85" s="13" t="s">
        <v>596</v>
      </c>
      <c r="C85" s="13" t="s">
        <v>597</v>
      </c>
      <c r="D85" s="13" t="s">
        <v>598</v>
      </c>
      <c r="E85" s="13" t="s">
        <v>447</v>
      </c>
      <c r="F85" s="13" t="s">
        <v>599</v>
      </c>
      <c r="G85" s="13" t="s">
        <v>600</v>
      </c>
      <c r="H85" s="13" t="s">
        <v>601</v>
      </c>
      <c r="I85" s="18" t="s">
        <v>114</v>
      </c>
      <c r="J85" s="18" t="s">
        <v>98</v>
      </c>
      <c r="K85" s="18" t="s">
        <v>136</v>
      </c>
      <c r="L85" s="18" t="s">
        <v>100</v>
      </c>
      <c r="M85" s="13"/>
      <c r="N85" s="13"/>
    </row>
    <row r="86" spans="1:14">
      <c r="A86" s="15" t="s">
        <v>602</v>
      </c>
      <c r="B86" s="14" t="s">
        <v>596</v>
      </c>
      <c r="C86" s="14" t="s">
        <v>603</v>
      </c>
      <c r="D86" s="14" t="s">
        <v>604</v>
      </c>
      <c r="E86" s="14" t="s">
        <v>605</v>
      </c>
      <c r="F86" s="14" t="s">
        <v>606</v>
      </c>
      <c r="G86" s="14" t="s">
        <v>607</v>
      </c>
      <c r="H86" s="14" t="s">
        <v>608</v>
      </c>
      <c r="I86" s="17" t="s">
        <v>97</v>
      </c>
      <c r="J86" s="17" t="s">
        <v>98</v>
      </c>
      <c r="K86" s="17" t="s">
        <v>136</v>
      </c>
      <c r="L86" s="17" t="s">
        <v>100</v>
      </c>
      <c r="M86" s="14"/>
      <c r="N86" s="14"/>
    </row>
    <row r="87" spans="1:14">
      <c r="A87" s="16" t="s">
        <v>609</v>
      </c>
      <c r="B87" s="13" t="s">
        <v>596</v>
      </c>
      <c r="C87" s="13" t="s">
        <v>610</v>
      </c>
      <c r="D87" s="13" t="s">
        <v>611</v>
      </c>
      <c r="E87" s="13" t="s">
        <v>612</v>
      </c>
      <c r="F87" s="13" t="s">
        <v>613</v>
      </c>
      <c r="G87" s="13" t="s">
        <v>614</v>
      </c>
      <c r="H87" s="13" t="s">
        <v>615</v>
      </c>
      <c r="I87" s="18" t="s">
        <v>97</v>
      </c>
      <c r="J87" s="18" t="s">
        <v>98</v>
      </c>
      <c r="K87" s="18" t="s">
        <v>142</v>
      </c>
      <c r="L87" s="18" t="s">
        <v>100</v>
      </c>
      <c r="M87" s="13"/>
      <c r="N87" s="13"/>
    </row>
    <row r="88" spans="1:14">
      <c r="A88" s="15" t="s">
        <v>616</v>
      </c>
      <c r="B88" s="14" t="s">
        <v>596</v>
      </c>
      <c r="C88" s="14" t="s">
        <v>617</v>
      </c>
      <c r="D88" s="14" t="s">
        <v>618</v>
      </c>
      <c r="E88" s="14" t="s">
        <v>619</v>
      </c>
      <c r="F88" s="14" t="s">
        <v>620</v>
      </c>
      <c r="G88" s="14" t="s">
        <v>621</v>
      </c>
      <c r="H88" s="14" t="s">
        <v>622</v>
      </c>
      <c r="I88" s="17" t="s">
        <v>97</v>
      </c>
      <c r="J88" s="17" t="s">
        <v>107</v>
      </c>
      <c r="K88" s="17" t="s">
        <v>142</v>
      </c>
      <c r="L88" s="17" t="s">
        <v>100</v>
      </c>
      <c r="M88" s="14"/>
      <c r="N88" s="14"/>
    </row>
    <row r="89" spans="1:14">
      <c r="A89" s="16" t="s">
        <v>623</v>
      </c>
      <c r="B89" s="13" t="s">
        <v>596</v>
      </c>
      <c r="C89" s="13" t="s">
        <v>624</v>
      </c>
      <c r="D89" s="13" t="s">
        <v>625</v>
      </c>
      <c r="E89" s="13" t="s">
        <v>626</v>
      </c>
      <c r="F89" s="13" t="s">
        <v>627</v>
      </c>
      <c r="G89" s="13" t="s">
        <v>628</v>
      </c>
      <c r="H89" s="13" t="s">
        <v>629</v>
      </c>
      <c r="I89" s="18" t="s">
        <v>114</v>
      </c>
      <c r="J89" s="18" t="s">
        <v>107</v>
      </c>
      <c r="K89" s="18" t="s">
        <v>142</v>
      </c>
      <c r="L89" s="18" t="s">
        <v>100</v>
      </c>
      <c r="M89" s="13"/>
      <c r="N89" s="13"/>
    </row>
    <row r="90" spans="1:14">
      <c r="A90" s="15" t="s">
        <v>630</v>
      </c>
      <c r="B90" s="14" t="s">
        <v>596</v>
      </c>
      <c r="C90" s="14" t="s">
        <v>578</v>
      </c>
      <c r="D90" s="14" t="s">
        <v>631</v>
      </c>
      <c r="E90" s="14" t="s">
        <v>632</v>
      </c>
      <c r="F90" s="14" t="s">
        <v>581</v>
      </c>
      <c r="G90" s="14" t="s">
        <v>110</v>
      </c>
      <c r="H90" s="14" t="s">
        <v>633</v>
      </c>
      <c r="I90" s="17" t="s">
        <v>114</v>
      </c>
      <c r="J90" s="17" t="s">
        <v>98</v>
      </c>
      <c r="K90" s="17" t="s">
        <v>142</v>
      </c>
      <c r="L90" s="17" t="s">
        <v>100</v>
      </c>
      <c r="M90" s="14"/>
      <c r="N90" s="14"/>
    </row>
    <row r="91" spans="1:14">
      <c r="A91" s="16" t="s">
        <v>634</v>
      </c>
      <c r="B91" s="13" t="s">
        <v>596</v>
      </c>
      <c r="C91" s="13" t="s">
        <v>635</v>
      </c>
      <c r="D91" s="13" t="s">
        <v>636</v>
      </c>
      <c r="E91" s="13" t="s">
        <v>637</v>
      </c>
      <c r="F91" s="13" t="s">
        <v>638</v>
      </c>
      <c r="G91" s="13" t="s">
        <v>110</v>
      </c>
      <c r="H91" s="13" t="s">
        <v>639</v>
      </c>
      <c r="I91" s="18" t="s">
        <v>97</v>
      </c>
      <c r="J91" s="18" t="s">
        <v>98</v>
      </c>
      <c r="K91" s="18" t="s">
        <v>640</v>
      </c>
      <c r="L91" s="18" t="s">
        <v>100</v>
      </c>
      <c r="M91" s="13"/>
      <c r="N91" s="13"/>
    </row>
    <row r="92" spans="1:14">
      <c r="A92" s="15" t="s">
        <v>641</v>
      </c>
      <c r="B92" s="14" t="s">
        <v>596</v>
      </c>
      <c r="C92" s="14" t="s">
        <v>635</v>
      </c>
      <c r="D92" s="14" t="s">
        <v>642</v>
      </c>
      <c r="E92" s="14" t="s">
        <v>110</v>
      </c>
      <c r="F92" s="14" t="s">
        <v>592</v>
      </c>
      <c r="G92" s="14" t="s">
        <v>593</v>
      </c>
      <c r="H92" s="14" t="s">
        <v>643</v>
      </c>
      <c r="I92" s="17" t="s">
        <v>114</v>
      </c>
      <c r="J92" s="17" t="s">
        <v>98</v>
      </c>
      <c r="K92" s="17" t="s">
        <v>640</v>
      </c>
      <c r="L92" s="17" t="s">
        <v>100</v>
      </c>
      <c r="M92" s="14"/>
      <c r="N92" s="14"/>
    </row>
    <row r="93" spans="1:14">
      <c r="A93" s="16" t="s">
        <v>644</v>
      </c>
      <c r="B93" s="13" t="s">
        <v>596</v>
      </c>
      <c r="C93" s="13" t="s">
        <v>645</v>
      </c>
      <c r="D93" s="13" t="s">
        <v>646</v>
      </c>
      <c r="E93" s="13" t="s">
        <v>447</v>
      </c>
      <c r="F93" s="13" t="s">
        <v>647</v>
      </c>
      <c r="G93" s="13" t="s">
        <v>110</v>
      </c>
      <c r="H93" s="13" t="s">
        <v>648</v>
      </c>
      <c r="I93" s="18" t="s">
        <v>114</v>
      </c>
      <c r="J93" s="18" t="s">
        <v>98</v>
      </c>
      <c r="K93" s="18" t="s">
        <v>136</v>
      </c>
      <c r="L93" s="18" t="s">
        <v>100</v>
      </c>
      <c r="M93" s="13"/>
      <c r="N93" s="13"/>
    </row>
    <row r="94" spans="1:14">
      <c r="A94" s="15" t="s">
        <v>649</v>
      </c>
      <c r="B94" s="14" t="s">
        <v>650</v>
      </c>
      <c r="C94" s="14" t="s">
        <v>610</v>
      </c>
      <c r="D94" s="14" t="s">
        <v>651</v>
      </c>
      <c r="E94" s="14" t="s">
        <v>652</v>
      </c>
      <c r="F94" s="14" t="s">
        <v>653</v>
      </c>
      <c r="G94" s="14" t="s">
        <v>654</v>
      </c>
      <c r="H94" s="14" t="s">
        <v>655</v>
      </c>
      <c r="I94" s="17" t="s">
        <v>97</v>
      </c>
      <c r="J94" s="17" t="s">
        <v>98</v>
      </c>
      <c r="K94" s="17" t="s">
        <v>142</v>
      </c>
      <c r="L94" s="17" t="s">
        <v>100</v>
      </c>
      <c r="M94" s="14"/>
      <c r="N94" s="14"/>
    </row>
    <row r="95" spans="1:14">
      <c r="A95" s="16" t="s">
        <v>656</v>
      </c>
      <c r="B95" s="13" t="s">
        <v>650</v>
      </c>
      <c r="C95" s="13" t="s">
        <v>635</v>
      </c>
      <c r="D95" s="13" t="s">
        <v>657</v>
      </c>
      <c r="E95" s="13" t="s">
        <v>637</v>
      </c>
      <c r="F95" s="13" t="s">
        <v>658</v>
      </c>
      <c r="G95" s="13" t="s">
        <v>110</v>
      </c>
      <c r="H95" s="13" t="s">
        <v>659</v>
      </c>
      <c r="I95" s="18" t="s">
        <v>97</v>
      </c>
      <c r="J95" s="18" t="s">
        <v>98</v>
      </c>
      <c r="K95" s="18" t="s">
        <v>640</v>
      </c>
      <c r="L95" s="18" t="s">
        <v>100</v>
      </c>
      <c r="M95" s="13"/>
      <c r="N95" s="13"/>
    </row>
    <row r="96" spans="1:14">
      <c r="A96" s="15" t="s">
        <v>660</v>
      </c>
      <c r="B96" s="14" t="s">
        <v>650</v>
      </c>
      <c r="C96" s="14" t="s">
        <v>578</v>
      </c>
      <c r="D96" s="14" t="s">
        <v>661</v>
      </c>
      <c r="E96" s="14" t="s">
        <v>632</v>
      </c>
      <c r="F96" s="14" t="s">
        <v>581</v>
      </c>
      <c r="G96" s="14" t="s">
        <v>110</v>
      </c>
      <c r="H96" s="14" t="s">
        <v>662</v>
      </c>
      <c r="I96" s="17" t="s">
        <v>418</v>
      </c>
      <c r="J96" s="17" t="s">
        <v>98</v>
      </c>
      <c r="K96" s="17" t="s">
        <v>142</v>
      </c>
      <c r="L96" s="17" t="s">
        <v>100</v>
      </c>
      <c r="M96" s="14"/>
      <c r="N96" s="14"/>
    </row>
    <row r="97" spans="1:14">
      <c r="A97" s="16" t="s">
        <v>663</v>
      </c>
      <c r="B97" s="13" t="s">
        <v>650</v>
      </c>
      <c r="C97" s="13" t="s">
        <v>664</v>
      </c>
      <c r="D97" s="13" t="s">
        <v>665</v>
      </c>
      <c r="E97" s="13" t="s">
        <v>666</v>
      </c>
      <c r="F97" s="13" t="s">
        <v>667</v>
      </c>
      <c r="G97" s="13" t="s">
        <v>474</v>
      </c>
      <c r="H97" s="13" t="s">
        <v>668</v>
      </c>
      <c r="I97" s="18" t="s">
        <v>114</v>
      </c>
      <c r="J97" s="18" t="s">
        <v>98</v>
      </c>
      <c r="K97" s="18" t="s">
        <v>136</v>
      </c>
      <c r="L97" s="18" t="s">
        <v>100</v>
      </c>
      <c r="M97" s="13"/>
      <c r="N97" s="13"/>
    </row>
    <row r="98" spans="1:14">
      <c r="A98" s="15" t="s">
        <v>669</v>
      </c>
      <c r="B98" s="14" t="s">
        <v>670</v>
      </c>
      <c r="C98" s="14" t="s">
        <v>610</v>
      </c>
      <c r="D98" s="14" t="s">
        <v>671</v>
      </c>
      <c r="E98" s="14" t="s">
        <v>672</v>
      </c>
      <c r="F98" s="14" t="s">
        <v>673</v>
      </c>
      <c r="G98" s="14" t="s">
        <v>674</v>
      </c>
      <c r="H98" s="14" t="s">
        <v>675</v>
      </c>
      <c r="I98" s="17" t="s">
        <v>114</v>
      </c>
      <c r="J98" s="17" t="s">
        <v>98</v>
      </c>
      <c r="K98" s="17" t="s">
        <v>142</v>
      </c>
      <c r="L98" s="17" t="s">
        <v>100</v>
      </c>
      <c r="M98" s="14"/>
      <c r="N98" s="14"/>
    </row>
    <row r="99" spans="1:14">
      <c r="A99" s="16" t="s">
        <v>676</v>
      </c>
      <c r="B99" s="13" t="s">
        <v>670</v>
      </c>
      <c r="C99" s="13" t="s">
        <v>677</v>
      </c>
      <c r="D99" s="13" t="s">
        <v>678</v>
      </c>
      <c r="E99" s="13" t="s">
        <v>679</v>
      </c>
      <c r="F99" s="13" t="s">
        <v>680</v>
      </c>
      <c r="G99" s="13" t="s">
        <v>110</v>
      </c>
      <c r="H99" s="13" t="s">
        <v>681</v>
      </c>
      <c r="I99" s="18" t="s">
        <v>114</v>
      </c>
      <c r="J99" s="18" t="s">
        <v>98</v>
      </c>
      <c r="K99" s="18" t="s">
        <v>142</v>
      </c>
      <c r="L99" s="18" t="s">
        <v>100</v>
      </c>
      <c r="M99" s="13"/>
      <c r="N99" s="13"/>
    </row>
    <row r="100" spans="1:14">
      <c r="A100" s="15" t="s">
        <v>682</v>
      </c>
      <c r="B100" s="14" t="s">
        <v>670</v>
      </c>
      <c r="C100" s="14" t="s">
        <v>635</v>
      </c>
      <c r="D100" s="14" t="s">
        <v>683</v>
      </c>
      <c r="E100" s="14" t="s">
        <v>684</v>
      </c>
      <c r="F100" s="14" t="s">
        <v>658</v>
      </c>
      <c r="G100" s="14" t="s">
        <v>110</v>
      </c>
      <c r="H100" s="14" t="s">
        <v>685</v>
      </c>
      <c r="I100" s="17" t="s">
        <v>114</v>
      </c>
      <c r="J100" s="17" t="s">
        <v>98</v>
      </c>
      <c r="K100" s="17" t="s">
        <v>136</v>
      </c>
      <c r="L100" s="17" t="s">
        <v>100</v>
      </c>
      <c r="M100" s="14"/>
      <c r="N100" s="14"/>
    </row>
    <row r="101" spans="1:14">
      <c r="A101" s="16" t="s">
        <v>686</v>
      </c>
      <c r="B101" s="13" t="s">
        <v>670</v>
      </c>
      <c r="C101" s="13" t="s">
        <v>578</v>
      </c>
      <c r="D101" s="13" t="s">
        <v>687</v>
      </c>
      <c r="E101" s="13" t="s">
        <v>688</v>
      </c>
      <c r="F101" s="13" t="s">
        <v>581</v>
      </c>
      <c r="G101" s="13" t="s">
        <v>110</v>
      </c>
      <c r="H101" s="13" t="s">
        <v>689</v>
      </c>
      <c r="I101" s="18" t="s">
        <v>418</v>
      </c>
      <c r="J101" s="18" t="s">
        <v>98</v>
      </c>
      <c r="K101" s="18" t="s">
        <v>142</v>
      </c>
      <c r="L101" s="18" t="s">
        <v>100</v>
      </c>
      <c r="M101" s="13"/>
      <c r="N101" s="13"/>
    </row>
    <row r="102" spans="1:14">
      <c r="A102" s="15" t="s">
        <v>690</v>
      </c>
      <c r="B102" s="14" t="s">
        <v>691</v>
      </c>
      <c r="C102" s="14" t="s">
        <v>444</v>
      </c>
      <c r="D102" s="14" t="s">
        <v>692</v>
      </c>
      <c r="E102" s="14" t="s">
        <v>666</v>
      </c>
      <c r="F102" s="14" t="s">
        <v>693</v>
      </c>
      <c r="G102" s="14" t="s">
        <v>474</v>
      </c>
      <c r="H102" s="14" t="s">
        <v>694</v>
      </c>
      <c r="I102" s="17" t="s">
        <v>114</v>
      </c>
      <c r="J102" s="17" t="s">
        <v>98</v>
      </c>
      <c r="K102" s="17" t="s">
        <v>136</v>
      </c>
      <c r="L102" s="17" t="s">
        <v>100</v>
      </c>
      <c r="M102" s="14"/>
      <c r="N102" s="14"/>
    </row>
    <row r="103" spans="1:14">
      <c r="A103" s="16" t="s">
        <v>695</v>
      </c>
      <c r="B103" s="13" t="s">
        <v>691</v>
      </c>
      <c r="C103" s="13" t="s">
        <v>265</v>
      </c>
      <c r="D103" s="13" t="s">
        <v>696</v>
      </c>
      <c r="E103" s="13" t="s">
        <v>110</v>
      </c>
      <c r="F103" s="13" t="s">
        <v>697</v>
      </c>
      <c r="G103" s="13" t="s">
        <v>110</v>
      </c>
      <c r="H103" s="13" t="s">
        <v>698</v>
      </c>
      <c r="I103" s="18" t="s">
        <v>114</v>
      </c>
      <c r="J103" s="18" t="s">
        <v>98</v>
      </c>
      <c r="K103" s="18" t="s">
        <v>136</v>
      </c>
      <c r="L103" s="18" t="s">
        <v>100</v>
      </c>
      <c r="M103" s="13"/>
      <c r="N103" s="13"/>
    </row>
    <row r="104" spans="1:14">
      <c r="A104" s="15" t="s">
        <v>699</v>
      </c>
      <c r="B104" s="14" t="s">
        <v>691</v>
      </c>
      <c r="C104" s="14" t="s">
        <v>265</v>
      </c>
      <c r="D104" s="14" t="s">
        <v>700</v>
      </c>
      <c r="E104" s="14" t="s">
        <v>110</v>
      </c>
      <c r="F104" s="14" t="s">
        <v>701</v>
      </c>
      <c r="G104" s="14" t="s">
        <v>110</v>
      </c>
      <c r="H104" s="14" t="s">
        <v>702</v>
      </c>
      <c r="I104" s="17" t="s">
        <v>114</v>
      </c>
      <c r="J104" s="17" t="s">
        <v>98</v>
      </c>
      <c r="K104" s="17" t="s">
        <v>136</v>
      </c>
      <c r="L104" s="17" t="s">
        <v>100</v>
      </c>
      <c r="M104" s="14"/>
      <c r="N104" s="14"/>
    </row>
    <row r="105" spans="1:14">
      <c r="A105" s="16" t="s">
        <v>703</v>
      </c>
      <c r="B105" s="13" t="s">
        <v>691</v>
      </c>
      <c r="C105" s="13" t="s">
        <v>241</v>
      </c>
      <c r="D105" s="13" t="s">
        <v>704</v>
      </c>
      <c r="E105" s="13" t="s">
        <v>705</v>
      </c>
      <c r="F105" s="13" t="s">
        <v>706</v>
      </c>
      <c r="G105" s="13" t="s">
        <v>110</v>
      </c>
      <c r="H105" s="13" t="s">
        <v>707</v>
      </c>
      <c r="I105" s="18" t="s">
        <v>418</v>
      </c>
      <c r="J105" s="18" t="s">
        <v>98</v>
      </c>
      <c r="K105" s="18" t="s">
        <v>136</v>
      </c>
      <c r="L105" s="18" t="s">
        <v>100</v>
      </c>
      <c r="M105" s="13"/>
      <c r="N105" s="13"/>
    </row>
    <row r="106" spans="1:14">
      <c r="A106" s="15" t="s">
        <v>708</v>
      </c>
      <c r="B106" s="14" t="s">
        <v>691</v>
      </c>
      <c r="C106" s="14" t="s">
        <v>596</v>
      </c>
      <c r="D106" s="14" t="s">
        <v>709</v>
      </c>
      <c r="E106" s="14" t="s">
        <v>110</v>
      </c>
      <c r="F106" s="14" t="s">
        <v>710</v>
      </c>
      <c r="G106" s="14" t="s">
        <v>474</v>
      </c>
      <c r="H106" s="14" t="s">
        <v>711</v>
      </c>
      <c r="I106" s="17" t="s">
        <v>114</v>
      </c>
      <c r="J106" s="17" t="s">
        <v>98</v>
      </c>
      <c r="K106" s="17" t="s">
        <v>136</v>
      </c>
      <c r="L106" s="17" t="s">
        <v>100</v>
      </c>
      <c r="M106" s="14"/>
      <c r="N106" s="14"/>
    </row>
    <row r="107" spans="1:14">
      <c r="A107" s="16" t="s">
        <v>712</v>
      </c>
      <c r="B107" s="13" t="s">
        <v>713</v>
      </c>
      <c r="C107" s="13" t="s">
        <v>714</v>
      </c>
      <c r="D107" s="13" t="s">
        <v>715</v>
      </c>
      <c r="E107" s="13" t="s">
        <v>716</v>
      </c>
      <c r="F107" s="13" t="s">
        <v>717</v>
      </c>
      <c r="G107" s="13" t="s">
        <v>110</v>
      </c>
      <c r="H107" s="13" t="s">
        <v>718</v>
      </c>
      <c r="I107" s="18" t="s">
        <v>418</v>
      </c>
      <c r="J107" s="18" t="s">
        <v>98</v>
      </c>
      <c r="K107" s="18" t="s">
        <v>99</v>
      </c>
      <c r="L107" s="18" t="s">
        <v>100</v>
      </c>
      <c r="M107" s="13"/>
      <c r="N107" s="13"/>
    </row>
    <row r="108" spans="1:14">
      <c r="A108" s="15" t="s">
        <v>719</v>
      </c>
      <c r="B108" s="14" t="s">
        <v>713</v>
      </c>
      <c r="C108" s="14" t="s">
        <v>720</v>
      </c>
      <c r="D108" s="14" t="s">
        <v>721</v>
      </c>
      <c r="E108" s="14" t="s">
        <v>716</v>
      </c>
      <c r="F108" s="14" t="s">
        <v>722</v>
      </c>
      <c r="G108" s="14" t="s">
        <v>110</v>
      </c>
      <c r="H108" s="14" t="s">
        <v>723</v>
      </c>
      <c r="I108" s="17" t="s">
        <v>418</v>
      </c>
      <c r="J108" s="17" t="s">
        <v>98</v>
      </c>
      <c r="K108" s="17" t="s">
        <v>99</v>
      </c>
      <c r="L108" s="17" t="s">
        <v>100</v>
      </c>
      <c r="M108" s="14"/>
      <c r="N108" s="14"/>
    </row>
    <row r="109" spans="1:14">
      <c r="A109" s="16" t="s">
        <v>724</v>
      </c>
      <c r="B109" s="13" t="s">
        <v>713</v>
      </c>
      <c r="C109" s="13" t="s">
        <v>725</v>
      </c>
      <c r="D109" s="13" t="s">
        <v>726</v>
      </c>
      <c r="E109" s="13" t="s">
        <v>716</v>
      </c>
      <c r="F109" s="13" t="s">
        <v>727</v>
      </c>
      <c r="G109" s="13" t="s">
        <v>110</v>
      </c>
      <c r="H109" s="13" t="s">
        <v>728</v>
      </c>
      <c r="I109" s="18" t="s">
        <v>418</v>
      </c>
      <c r="J109" s="18" t="s">
        <v>98</v>
      </c>
      <c r="K109" s="18" t="s">
        <v>99</v>
      </c>
      <c r="L109" s="18" t="s">
        <v>100</v>
      </c>
      <c r="M109" s="13"/>
      <c r="N109" s="13"/>
    </row>
    <row r="110" spans="1:14">
      <c r="A110" s="15" t="s">
        <v>729</v>
      </c>
      <c r="B110" s="14" t="s">
        <v>730</v>
      </c>
      <c r="C110" s="14" t="s">
        <v>731</v>
      </c>
      <c r="D110" s="14" t="s">
        <v>732</v>
      </c>
      <c r="E110" s="14" t="s">
        <v>733</v>
      </c>
      <c r="F110" s="14" t="s">
        <v>734</v>
      </c>
      <c r="G110" s="14" t="s">
        <v>110</v>
      </c>
      <c r="H110" s="14" t="s">
        <v>735</v>
      </c>
      <c r="I110" s="17" t="s">
        <v>114</v>
      </c>
      <c r="J110" s="17" t="s">
        <v>98</v>
      </c>
      <c r="K110" s="17" t="s">
        <v>645</v>
      </c>
      <c r="L110" s="17" t="s">
        <v>100</v>
      </c>
      <c r="M110" s="14"/>
      <c r="N110" s="14"/>
    </row>
    <row r="111" spans="1:14">
      <c r="A111" s="16" t="s">
        <v>736</v>
      </c>
      <c r="B111" s="13" t="s">
        <v>730</v>
      </c>
      <c r="C111" s="13" t="s">
        <v>737</v>
      </c>
      <c r="D111" s="13" t="s">
        <v>738</v>
      </c>
      <c r="E111" s="13" t="s">
        <v>739</v>
      </c>
      <c r="F111" s="13" t="s">
        <v>740</v>
      </c>
      <c r="G111" s="13" t="s">
        <v>741</v>
      </c>
      <c r="H111" s="13" t="s">
        <v>742</v>
      </c>
      <c r="I111" s="18" t="s">
        <v>97</v>
      </c>
      <c r="J111" s="18" t="s">
        <v>98</v>
      </c>
      <c r="K111" s="18" t="s">
        <v>645</v>
      </c>
      <c r="L111" s="18" t="s">
        <v>100</v>
      </c>
      <c r="M111" s="13"/>
      <c r="N111" s="13"/>
    </row>
    <row r="112" spans="1:14">
      <c r="A112" s="15" t="s">
        <v>743</v>
      </c>
      <c r="B112" s="14" t="s">
        <v>730</v>
      </c>
      <c r="C112" s="14" t="s">
        <v>744</v>
      </c>
      <c r="D112" s="14" t="s">
        <v>745</v>
      </c>
      <c r="E112" s="14" t="s">
        <v>110</v>
      </c>
      <c r="F112" s="14" t="s">
        <v>746</v>
      </c>
      <c r="G112" s="14" t="s">
        <v>747</v>
      </c>
      <c r="H112" s="14" t="s">
        <v>748</v>
      </c>
      <c r="I112" s="17" t="s">
        <v>114</v>
      </c>
      <c r="J112" s="17" t="s">
        <v>98</v>
      </c>
      <c r="K112" s="17" t="s">
        <v>645</v>
      </c>
      <c r="L112" s="17" t="s">
        <v>100</v>
      </c>
      <c r="M112" s="14"/>
      <c r="N112" s="14"/>
    </row>
    <row r="113" spans="1:14">
      <c r="A113" s="16" t="s">
        <v>749</v>
      </c>
      <c r="B113" s="13" t="s">
        <v>730</v>
      </c>
      <c r="C113" s="13" t="s">
        <v>144</v>
      </c>
      <c r="D113" s="13" t="s">
        <v>750</v>
      </c>
      <c r="E113" s="13" t="s">
        <v>751</v>
      </c>
      <c r="F113" s="13" t="s">
        <v>752</v>
      </c>
      <c r="G113" s="13" t="s">
        <v>110</v>
      </c>
      <c r="H113" s="13" t="s">
        <v>148</v>
      </c>
      <c r="I113" s="18" t="s">
        <v>114</v>
      </c>
      <c r="J113" s="18" t="s">
        <v>121</v>
      </c>
      <c r="K113" s="18" t="s">
        <v>142</v>
      </c>
      <c r="L113" s="18" t="s">
        <v>100</v>
      </c>
      <c r="M113" s="13"/>
      <c r="N113" s="13"/>
    </row>
    <row r="114" spans="1:14">
      <c r="A114" s="15" t="s">
        <v>753</v>
      </c>
      <c r="B114" s="14" t="s">
        <v>754</v>
      </c>
      <c r="C114" s="14" t="s">
        <v>755</v>
      </c>
      <c r="D114" s="14" t="s">
        <v>756</v>
      </c>
      <c r="E114" s="14" t="s">
        <v>273</v>
      </c>
      <c r="F114" s="14" t="s">
        <v>757</v>
      </c>
      <c r="G114" s="14" t="s">
        <v>110</v>
      </c>
      <c r="H114" s="14" t="s">
        <v>758</v>
      </c>
      <c r="I114" s="17" t="s">
        <v>97</v>
      </c>
      <c r="J114" s="17" t="s">
        <v>121</v>
      </c>
      <c r="K114" s="17" t="s">
        <v>142</v>
      </c>
      <c r="L114" s="17" t="s">
        <v>100</v>
      </c>
      <c r="M114" s="14"/>
      <c r="N114" s="14"/>
    </row>
    <row r="115" spans="1:14">
      <c r="A115" s="16" t="s">
        <v>759</v>
      </c>
      <c r="B115" s="13" t="s">
        <v>754</v>
      </c>
      <c r="C115" s="13" t="s">
        <v>760</v>
      </c>
      <c r="D115" s="13" t="s">
        <v>761</v>
      </c>
      <c r="E115" s="13" t="s">
        <v>110</v>
      </c>
      <c r="F115" s="13" t="s">
        <v>762</v>
      </c>
      <c r="G115" s="13" t="s">
        <v>763</v>
      </c>
      <c r="H115" s="13" t="s">
        <v>764</v>
      </c>
      <c r="I115" s="18" t="s">
        <v>114</v>
      </c>
      <c r="J115" s="18" t="s">
        <v>107</v>
      </c>
      <c r="K115" s="18" t="s">
        <v>99</v>
      </c>
      <c r="L115" s="18" t="s">
        <v>100</v>
      </c>
      <c r="M115" s="13"/>
      <c r="N115" s="13"/>
    </row>
    <row r="116" spans="1:14">
      <c r="A116" s="15" t="s">
        <v>765</v>
      </c>
      <c r="B116" s="14" t="s">
        <v>754</v>
      </c>
      <c r="C116" s="14" t="s">
        <v>766</v>
      </c>
      <c r="D116" s="14" t="s">
        <v>767</v>
      </c>
      <c r="E116" s="14" t="s">
        <v>768</v>
      </c>
      <c r="F116" s="14" t="s">
        <v>769</v>
      </c>
      <c r="G116" s="14" t="s">
        <v>770</v>
      </c>
      <c r="H116" s="14" t="s">
        <v>771</v>
      </c>
      <c r="I116" s="17" t="s">
        <v>97</v>
      </c>
      <c r="J116" s="17" t="s">
        <v>121</v>
      </c>
      <c r="K116" s="17" t="s">
        <v>142</v>
      </c>
      <c r="L116" s="17" t="s">
        <v>100</v>
      </c>
      <c r="M116" s="14"/>
      <c r="N116" s="14"/>
    </row>
    <row r="117" spans="1:14">
      <c r="A117" s="16" t="s">
        <v>772</v>
      </c>
      <c r="B117" s="13" t="s">
        <v>754</v>
      </c>
      <c r="C117" s="13" t="s">
        <v>773</v>
      </c>
      <c r="D117" s="13" t="s">
        <v>774</v>
      </c>
      <c r="E117" s="13" t="s">
        <v>775</v>
      </c>
      <c r="F117" s="13" t="s">
        <v>776</v>
      </c>
      <c r="G117" s="13" t="s">
        <v>110</v>
      </c>
      <c r="H117" s="13" t="s">
        <v>777</v>
      </c>
      <c r="I117" s="18" t="s">
        <v>114</v>
      </c>
      <c r="J117" s="18" t="s">
        <v>121</v>
      </c>
      <c r="K117" s="18" t="s">
        <v>99</v>
      </c>
      <c r="L117" s="18" t="s">
        <v>100</v>
      </c>
      <c r="M117" s="13"/>
      <c r="N117" s="13"/>
    </row>
  </sheetData>
  <autoFilter ref="A1:N1"/>
  <dataValidations count="3">
    <dataValidation type="list" errorStyle="stop" operator="between" allowBlank="0" showDropDown="0" showInputMessage="0" showErrorMessage="0" sqref="I2:I117">
      <formula1>"Tinggi,Sedang,Rendah"</formula1>
    </dataValidation>
    <dataValidation type="list" errorStyle="stop" operator="between" allowBlank="0" showDropDown="0" showInputMessage="0" showErrorMessage="0" sqref="J2:J117">
      <formula1>"Positif,Negatif,Akses"</formula1>
    </dataValidation>
    <dataValidation type="list" errorStyle="stop" operator="between" allowBlank="0" showDropDown="0" showInputMessage="0" showErrorMessage="0" sqref="L2:L117">
      <formula1>"Not Run,Pass,Fail,Blocked"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false" showRowColHeaders="1">
      <selection activeCell="B16" sqref="B16:C16"/>
    </sheetView>
  </sheetViews>
  <sheetFormatPr defaultRowHeight="14.4" outlineLevelRow="0" outlineLevelCol="0"/>
  <cols>
    <col min="1" max="1" width="3" customWidth="true" style="0"/>
    <col min="2" max="2" width="26" customWidth="true" style="0"/>
    <col min="3" max="3" width="16" customWidth="true" style="0"/>
    <col min="4" max="4" width="14" customWidth="true" style="0"/>
  </cols>
  <sheetData>
    <row r="2" spans="1:4">
      <c r="B2" s="19" t="s">
        <v>778</v>
      </c>
    </row>
    <row r="3" spans="1:4">
      <c r="B3" s="20" t="s">
        <v>779</v>
      </c>
    </row>
    <row r="6" spans="1:4">
      <c r="B6" s="21" t="s">
        <v>780</v>
      </c>
      <c r="C6" s="23" t="s">
        <v>781</v>
      </c>
      <c r="D6" s="22" t="s">
        <v>782</v>
      </c>
    </row>
    <row r="7" spans="1:4">
      <c r="B7" s="7" t="s">
        <v>783</v>
      </c>
      <c r="C7" s="24">
        <f>COUNTA('Test Scenario'!$A$2:$A$117)</f>
        <v>116</v>
      </c>
      <c r="D7" s="5"/>
    </row>
    <row r="8" spans="1:4">
      <c r="B8" s="26" t="s">
        <v>784</v>
      </c>
      <c r="C8" s="24">
        <f>COUNTIF('Test Scenario'!$L$2:$L$117,"Pass")</f>
        <v>0</v>
      </c>
      <c r="D8" s="25">
        <f>IF($C$7=0,0,C8/$C$7)</f>
        <v>0</v>
      </c>
    </row>
    <row r="9" spans="1:4">
      <c r="B9" s="27" t="s">
        <v>785</v>
      </c>
      <c r="C9" s="24">
        <f>COUNTIF('Test Scenario'!$L$2:$L$117,"Fail")</f>
        <v>0</v>
      </c>
      <c r="D9" s="25">
        <f>IF($C$7=0,0,C9/$C$7)</f>
        <v>0</v>
      </c>
    </row>
    <row r="10" spans="1:4">
      <c r="B10" s="28" t="s">
        <v>786</v>
      </c>
      <c r="C10" s="24">
        <f>COUNTIF('Test Scenario'!$L$2:$L$117,"Blocked")</f>
        <v>0</v>
      </c>
      <c r="D10" s="25">
        <f>IF($C$7=0,0,C10/$C$7)</f>
        <v>0</v>
      </c>
    </row>
    <row r="11" spans="1:4">
      <c r="B11" s="7" t="s">
        <v>787</v>
      </c>
      <c r="C11" s="24">
        <f>COUNTIF('Test Scenario'!$L$2:$L$117,"Not Run")</f>
        <v>116</v>
      </c>
      <c r="D11" s="25">
        <f>IF($C$7=0,0,C11/$C$7)</f>
        <v>1</v>
      </c>
    </row>
    <row r="13" spans="1:4">
      <c r="B13" s="21" t="s">
        <v>788</v>
      </c>
      <c r="C13" s="21" t="s">
        <v>781</v>
      </c>
    </row>
    <row r="14" spans="1:4">
      <c r="B14" s="5" t="s">
        <v>97</v>
      </c>
      <c r="C14" s="24">
        <f>COUNTIF('Test Scenario'!$I$2:$I$117,"Tinggi")</f>
        <v>45</v>
      </c>
    </row>
    <row r="15" spans="1:4">
      <c r="B15" s="5" t="s">
        <v>114</v>
      </c>
      <c r="C15" s="24">
        <f>COUNTIF('Test Scenario'!$I$2:$I$117,"Sedang")</f>
        <v>59</v>
      </c>
    </row>
    <row r="16" spans="1:4">
      <c r="B16" s="5" t="s">
        <v>418</v>
      </c>
      <c r="C16" s="24">
        <f>COUNTIF('Test Scenario'!$I$2:$I$117,"Rendah")</f>
        <v>12</v>
      </c>
    </row>
  </sheetData>
  <mergeCells>
    <mergeCell ref="B2:D2"/>
    <mergeCell ref="B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Test Plan</vt:lpstr>
      <vt:lpstr>Test Scenario</vt:lpstr>
      <vt:lpstr>Ringkasan</vt:lpstr>
    </vt:vector>
  </TitlesOfParts>
  <Company>HRIS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QA HRIS</dc:creator>
  <cp:lastModifiedBy>Unknown Creator</cp:lastModifiedBy>
  <dcterms:created xsi:type="dcterms:W3CDTF">2026-07-11T02:50:05+00:00</dcterms:created>
  <dcterms:modified xsi:type="dcterms:W3CDTF">2026-07-11T02:50:05+00:00</dcterms:modified>
  <dc:title>Test Plan &amp; Test Scenario - Aplikasi HRIS</dc:title>
  <dc:description/>
  <dc:subject>Dokumen Pengujian</dc:subject>
  <cp:keywords/>
  <cp:category/>
</cp:coreProperties>
</file>